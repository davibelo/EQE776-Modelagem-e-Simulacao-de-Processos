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b\Downloads\EQE776 - Modelagem e Simulacao de Processos\trabalho final\"/>
    </mc:Choice>
  </mc:AlternateContent>
  <xr:revisionPtr revIDLastSave="0" documentId="13_ncr:1_{2D4DF565-0CFF-4FA4-B8E1-3E25F06B3120}" xr6:coauthVersionLast="47" xr6:coauthVersionMax="47" xr10:uidLastSave="{00000000-0000-0000-0000-000000000000}"/>
  <bookViews>
    <workbookView xWindow="-120" yWindow="-120" windowWidth="29040" windowHeight="15720" xr2:uid="{9D56243F-FD5C-4BC7-B941-D09407D978BB}"/>
  </bookViews>
  <sheets>
    <sheet name="Dados" sheetId="8" r:id="rId1"/>
    <sheet name="Caso1" sheetId="1" r:id="rId2"/>
    <sheet name="Caso2" sheetId="3" r:id="rId3"/>
    <sheet name="Caso3" sheetId="5" r:id="rId4"/>
    <sheet name="Caso4" sheetId="6" r:id="rId5"/>
    <sheet name="Caso5" sheetId="9" r:id="rId6"/>
    <sheet name="Caso6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0" l="1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T6" i="10"/>
  <c r="S6" i="10"/>
  <c r="T5" i="10"/>
  <c r="S5" i="10"/>
  <c r="T4" i="10"/>
  <c r="S4" i="10"/>
  <c r="T19" i="9"/>
  <c r="S19" i="9"/>
  <c r="T18" i="9"/>
  <c r="S18" i="9"/>
  <c r="T17" i="9"/>
  <c r="S17" i="9"/>
  <c r="T16" i="9"/>
  <c r="S16" i="9"/>
  <c r="T15" i="9"/>
  <c r="S15" i="9"/>
  <c r="T14" i="9"/>
  <c r="S14" i="9"/>
  <c r="T13" i="9"/>
  <c r="S13" i="9"/>
  <c r="T12" i="9"/>
  <c r="S12" i="9"/>
  <c r="T11" i="9"/>
  <c r="S11" i="9"/>
  <c r="T10" i="9"/>
  <c r="S10" i="9"/>
  <c r="T9" i="9"/>
  <c r="S9" i="9"/>
  <c r="T8" i="9"/>
  <c r="S8" i="9"/>
  <c r="T7" i="9"/>
  <c r="S7" i="9"/>
  <c r="T6" i="9"/>
  <c r="S6" i="9"/>
  <c r="T5" i="9"/>
  <c r="S5" i="9"/>
  <c r="T4" i="9"/>
  <c r="S4" i="9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19" i="3"/>
  <c r="S19" i="3"/>
  <c r="T18" i="3"/>
  <c r="S18" i="3"/>
  <c r="T17" i="3"/>
  <c r="S17" i="3"/>
  <c r="T16" i="3"/>
  <c r="S16" i="3"/>
  <c r="T15" i="3"/>
  <c r="S15" i="3"/>
  <c r="T14" i="3"/>
  <c r="S14" i="3"/>
  <c r="T13" i="3"/>
  <c r="S13" i="3"/>
  <c r="T12" i="3"/>
  <c r="S12" i="3"/>
  <c r="T11" i="3"/>
  <c r="S11" i="3"/>
  <c r="T10" i="3"/>
  <c r="S10" i="3"/>
  <c r="T9" i="3"/>
  <c r="S9" i="3"/>
  <c r="T8" i="3"/>
  <c r="S8" i="3"/>
  <c r="T7" i="3"/>
  <c r="S7" i="3"/>
  <c r="T6" i="3"/>
  <c r="S6" i="3"/>
  <c r="T5" i="3"/>
  <c r="S5" i="3"/>
  <c r="T4" i="3"/>
  <c r="S4" i="3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T5" i="5"/>
  <c r="S5" i="5"/>
  <c r="T4" i="5"/>
  <c r="S4" i="5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T10" i="6"/>
  <c r="S10" i="6"/>
  <c r="T9" i="6"/>
  <c r="S9" i="6"/>
  <c r="T8" i="6"/>
  <c r="S8" i="6"/>
  <c r="T7" i="6"/>
  <c r="S7" i="6"/>
  <c r="T6" i="6"/>
  <c r="S6" i="6"/>
  <c r="T5" i="6"/>
  <c r="S5" i="6"/>
  <c r="T4" i="6"/>
  <c r="S4" i="6"/>
</calcChain>
</file>

<file path=xl/sharedStrings.xml><?xml version="1.0" encoding="utf-8"?>
<sst xmlns="http://schemas.openxmlformats.org/spreadsheetml/2006/main" count="253" uniqueCount="53">
  <si>
    <t>Row/Case</t>
  </si>
  <si>
    <t>Status</t>
  </si>
  <si>
    <t>Description</t>
  </si>
  <si>
    <t xml:space="preserve">VARY   1_x000D_
T1      _x000D_
COL-SPEC_x000D_
QN      _x000D_
_x000D_
GCAL/HR _x000D_
</t>
  </si>
  <si>
    <t xml:space="preserve">TBOT    _x000D_
_x000D_
_x000D_
_x000D_
_x000D_
C       _x000D_
</t>
  </si>
  <si>
    <t xml:space="preserve">TTOP    _x000D_
_x000D_
_x000D_
_x000D_
_x000D_
C       _x000D_
</t>
  </si>
  <si>
    <t xml:space="preserve">FEED    _x000D_
_x000D_
_x000D_
_x000D_
_x000D_
KG/HR   _x000D_
</t>
  </si>
  <si>
    <t xml:space="preserve">GAS     _x000D_
_x000D_
_x000D_
_x000D_
_x000D_
KG/HR   _x000D_
</t>
  </si>
  <si>
    <t xml:space="preserve">WATER   _x000D_
_x000D_
_x000D_
_x000D_
_x000D_
KG/HR   _x000D_
</t>
  </si>
  <si>
    <t>OK</t>
  </si>
  <si>
    <t xml:space="preserve">H2SGAS  _x000D_
_x000D_
_x000D_
_x000D_
_x000D_
KG/HR   _x000D_
</t>
  </si>
  <si>
    <t xml:space="preserve">NH3GAS  _x000D_
_x000D_
_x000D_
_x000D_
_x000D_
KG/HR   _x000D_
</t>
  </si>
  <si>
    <t xml:space="preserve">H2SWATER_x000D_
_x000D_
_x000D_
_x000D_
_x000D_
KG/HR   _x000D_
</t>
  </si>
  <si>
    <t xml:space="preserve">NH3WATER_x000D_
_x000D_
_x000D_
_x000D_
_x000D_
KG/HR   _x000D_
</t>
  </si>
  <si>
    <t>H2S RECOVER</t>
  </si>
  <si>
    <t xml:space="preserve">H20GAS  _x000D_
_x000D_
_x000D_
_x000D_
_x000D_
KG/HR   _x000D_
</t>
  </si>
  <si>
    <t xml:space="preserve">H20WATER_x000D_
_x000D_
_x000D_
_x000D_
_x000D_
KG/HR   _x000D_
</t>
  </si>
  <si>
    <t xml:space="preserve">H2SFEED _x000D_
_x000D_
_x000D_
_x000D_
_x000D_
KG/HR   _x000D_
</t>
  </si>
  <si>
    <t xml:space="preserve">NH3FEED _x000D_
_x000D_
_x000D_
_x000D_
_x000D_
KG/HR   _x000D_
</t>
  </si>
  <si>
    <t xml:space="preserve">H20FEED _x000D_
_x000D_
_x000D_
_x000D_
_x000D_
KG/HR   _x000D_
</t>
  </si>
  <si>
    <t>NH3 LOSS</t>
  </si>
  <si>
    <t>Caso:</t>
  </si>
  <si>
    <t>1/2 H2S / Max NH3</t>
  </si>
  <si>
    <t>Max H2S / Max NH3</t>
  </si>
  <si>
    <t>Max H2S / 1/2 NH3</t>
  </si>
  <si>
    <t>1/2 H2S / 1/2 NH3</t>
  </si>
  <si>
    <t>Q refervedor [Gcal/h)</t>
  </si>
  <si>
    <t>Recuperação H2S [%] - Caso 1</t>
  </si>
  <si>
    <t>T fundo [°C] - Caso 1</t>
  </si>
  <si>
    <t>T fundo [°C] - Caso 2</t>
  </si>
  <si>
    <t>T fundo [°C] - Caso 3</t>
  </si>
  <si>
    <t>T fundo [°C] - Caso 4</t>
  </si>
  <si>
    <t>T topo [°C] - Caso 1</t>
  </si>
  <si>
    <t>T topo [°C] - Caso 2</t>
  </si>
  <si>
    <t>T topo [°C] - Caso 3</t>
  </si>
  <si>
    <t>T topo [°C] - Caso 4</t>
  </si>
  <si>
    <t>Recuperação H2S [%] - Caso 2</t>
  </si>
  <si>
    <t>Recuperação H2S [%] - Caso 3</t>
  </si>
  <si>
    <t>Recuperação H2S [%] - Caso 4</t>
  </si>
  <si>
    <t>Perda NH3 [%] - Caso 1</t>
  </si>
  <si>
    <t>Perda NH3 [%] - Caso 2</t>
  </si>
  <si>
    <t>Perda NH3 [%] - Caso 3</t>
  </si>
  <si>
    <t>Perda NH3 [%] - Caso 4</t>
  </si>
  <si>
    <t>95% Vazão Carga</t>
  </si>
  <si>
    <t>105% Vazão Carga</t>
  </si>
  <si>
    <t>T fundo [°C] - Caso 5</t>
  </si>
  <si>
    <t>T fundo [°C] - Caso 6</t>
  </si>
  <si>
    <t>T topo [°C] - Caso 5</t>
  </si>
  <si>
    <t>T topo [°C] - Caso 6</t>
  </si>
  <si>
    <t>Recuperação H2S [%] - Caso 5</t>
  </si>
  <si>
    <t>Recuperação H2S [%] - Caso 6</t>
  </si>
  <si>
    <t>Perda NH3 [%] - Caso 5</t>
  </si>
  <si>
    <t>Perda NH3 [%] - Caso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</si>
</sst>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Caso1!$S$4:$S$19</c:f>
              <c:numCache>
                <c:formatCode>0.00</c:formatCode>
                <c:ptCount val="16"/>
                <c:pt idx="0">
                  <c:v>73.477633142857144</c:v>
                </c:pt>
                <c:pt idx="1">
                  <c:v>84.034944571428568</c:v>
                </c:pt>
                <c:pt idx="2">
                  <c:v>95.893004000000005</c:v>
                </c:pt>
                <c:pt idx="3">
                  <c:v>99.788534857142849</c:v>
                </c:pt>
                <c:pt idx="4">
                  <c:v>99.999990285714276</c:v>
                </c:pt>
                <c:pt idx="5">
                  <c:v>99.999993714285708</c:v>
                </c:pt>
                <c:pt idx="6">
                  <c:v>99.999961142857146</c:v>
                </c:pt>
                <c:pt idx="7">
                  <c:v>99.999980000000008</c:v>
                </c:pt>
                <c:pt idx="8">
                  <c:v>100.00000057142857</c:v>
                </c:pt>
                <c:pt idx="9">
                  <c:v>100.00000171428572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99.999998285714284</c:v>
                </c:pt>
                <c:pt idx="14">
                  <c:v>99.999999428571428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6-4A6F-A7B4-B3BB2B84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Caso1!$T$4:$T$19</c:f>
              <c:numCache>
                <c:formatCode>0.00</c:formatCode>
                <c:ptCount val="16"/>
                <c:pt idx="0">
                  <c:v>9.241946866666667E-4</c:v>
                </c:pt>
                <c:pt idx="1">
                  <c:v>1.1113452000000002E-3</c:v>
                </c:pt>
                <c:pt idx="2">
                  <c:v>1.3473702599999999E-3</c:v>
                </c:pt>
                <c:pt idx="3">
                  <c:v>1.4317285866666668E-3</c:v>
                </c:pt>
                <c:pt idx="4">
                  <c:v>3.7726966133333333</c:v>
                </c:pt>
                <c:pt idx="5">
                  <c:v>11.8299114</c:v>
                </c:pt>
                <c:pt idx="6">
                  <c:v>20.744412799999999</c:v>
                </c:pt>
                <c:pt idx="7">
                  <c:v>30.243477200000005</c:v>
                </c:pt>
                <c:pt idx="8">
                  <c:v>40.481801399999995</c:v>
                </c:pt>
                <c:pt idx="9">
                  <c:v>51.577764866666662</c:v>
                </c:pt>
                <c:pt idx="10">
                  <c:v>62.729251400000003</c:v>
                </c:pt>
                <c:pt idx="11">
                  <c:v>73.135623333333328</c:v>
                </c:pt>
                <c:pt idx="12">
                  <c:v>82.053419999999988</c:v>
                </c:pt>
                <c:pt idx="13">
                  <c:v>88.939851999999988</c:v>
                </c:pt>
                <c:pt idx="14">
                  <c:v>93.691382000000004</c:v>
                </c:pt>
                <c:pt idx="15">
                  <c:v>96.637361999999996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1-4343-8A44-66F4EA02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Caso1!$E$4:$E$19</c:f>
              <c:numCache>
                <c:formatCode>General</c:formatCode>
                <c:ptCount val="16"/>
                <c:pt idx="0">
                  <c:v>60.186539600000003</c:v>
                </c:pt>
                <c:pt idx="1">
                  <c:v>60.211882199999998</c:v>
                </c:pt>
                <c:pt idx="2">
                  <c:v>60.240434499999999</c:v>
                </c:pt>
                <c:pt idx="3">
                  <c:v>60.249888900000002</c:v>
                </c:pt>
                <c:pt idx="4">
                  <c:v>61.737288800000002</c:v>
                </c:pt>
                <c:pt idx="5">
                  <c:v>64.789468900000003</c:v>
                </c:pt>
                <c:pt idx="6">
                  <c:v>73.627252799999994</c:v>
                </c:pt>
                <c:pt idx="7">
                  <c:v>95.240318500000001</c:v>
                </c:pt>
                <c:pt idx="8">
                  <c:v>126.917852</c:v>
                </c:pt>
                <c:pt idx="9">
                  <c:v>143.81810400000001</c:v>
                </c:pt>
                <c:pt idx="10">
                  <c:v>149.54617500000001</c:v>
                </c:pt>
                <c:pt idx="11">
                  <c:v>152.14986500000001</c:v>
                </c:pt>
                <c:pt idx="12">
                  <c:v>153.653525</c:v>
                </c:pt>
                <c:pt idx="13">
                  <c:v>154.66254699999999</c:v>
                </c:pt>
                <c:pt idx="14">
                  <c:v>155.40262200000001</c:v>
                </c:pt>
                <c:pt idx="15">
                  <c:v>155.971406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7-4290-8278-FA97A3ED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Caso1!$F$4:$F$19</c:f>
              <c:numCache>
                <c:formatCode>General</c:formatCode>
                <c:ptCount val="16"/>
                <c:pt idx="0">
                  <c:v>154.258658</c:v>
                </c:pt>
                <c:pt idx="1">
                  <c:v>156.38244800000001</c:v>
                </c:pt>
                <c:pt idx="2">
                  <c:v>158.63820999999999</c:v>
                </c:pt>
                <c:pt idx="3">
                  <c:v>159.35225299999999</c:v>
                </c:pt>
                <c:pt idx="4">
                  <c:v>159.42114100000001</c:v>
                </c:pt>
                <c:pt idx="5">
                  <c:v>159.486391</c:v>
                </c:pt>
                <c:pt idx="6">
                  <c:v>159.55855099999999</c:v>
                </c:pt>
                <c:pt idx="7">
                  <c:v>159.63528600000001</c:v>
                </c:pt>
                <c:pt idx="8">
                  <c:v>159.71731399999999</c:v>
                </c:pt>
                <c:pt idx="9">
                  <c:v>159.805374</c:v>
                </c:pt>
                <c:pt idx="10">
                  <c:v>159.894339</c:v>
                </c:pt>
                <c:pt idx="11">
                  <c:v>159.97819799999999</c:v>
                </c:pt>
                <c:pt idx="12">
                  <c:v>160.050838</c:v>
                </c:pt>
                <c:pt idx="13">
                  <c:v>160.107542</c:v>
                </c:pt>
                <c:pt idx="14">
                  <c:v>160.14709400000001</c:v>
                </c:pt>
                <c:pt idx="15">
                  <c:v>160.17189099999999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4-424F-BC63-F4D0D237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Caso2!$S$4:$S$19</c:f>
              <c:numCache>
                <c:formatCode>0.00</c:formatCode>
                <c:ptCount val="16"/>
                <c:pt idx="0">
                  <c:v>42.869439885714286</c:v>
                </c:pt>
                <c:pt idx="1">
                  <c:v>63.769694514285717</c:v>
                </c:pt>
                <c:pt idx="2">
                  <c:v>87.250256914285714</c:v>
                </c:pt>
                <c:pt idx="3">
                  <c:v>94.965045485714285</c:v>
                </c:pt>
                <c:pt idx="4">
                  <c:v>99.999999200000005</c:v>
                </c:pt>
                <c:pt idx="5">
                  <c:v>99.999993485714285</c:v>
                </c:pt>
                <c:pt idx="6">
                  <c:v>100</c:v>
                </c:pt>
                <c:pt idx="7">
                  <c:v>100.00001714285715</c:v>
                </c:pt>
                <c:pt idx="8">
                  <c:v>100.00000022857142</c:v>
                </c:pt>
                <c:pt idx="9">
                  <c:v>100.00000034285713</c:v>
                </c:pt>
                <c:pt idx="10">
                  <c:v>99.999996114285707</c:v>
                </c:pt>
                <c:pt idx="11">
                  <c:v>99.999998399999996</c:v>
                </c:pt>
                <c:pt idx="12">
                  <c:v>99.999999657142865</c:v>
                </c:pt>
                <c:pt idx="13">
                  <c:v>99.999999885714288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F-41DE-B3AB-BB41C19B5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Caso2!$T$4:$T$19</c:f>
              <c:numCache>
                <c:formatCode>0.00</c:formatCode>
                <c:ptCount val="16"/>
                <c:pt idx="0">
                  <c:v>3.9092863599999997E-4</c:v>
                </c:pt>
                <c:pt idx="1">
                  <c:v>5.9271696000000003E-4</c:v>
                </c:pt>
                <c:pt idx="2">
                  <c:v>8.3055861333333346E-4</c:v>
                </c:pt>
                <c:pt idx="3">
                  <c:v>9.117360586666667E-4</c:v>
                </c:pt>
                <c:pt idx="4">
                  <c:v>2.8624355866666669</c:v>
                </c:pt>
                <c:pt idx="5">
                  <c:v>11.082632386666667</c:v>
                </c:pt>
                <c:pt idx="6">
                  <c:v>20.272859066666665</c:v>
                </c:pt>
                <c:pt idx="7">
                  <c:v>30.010780666666669</c:v>
                </c:pt>
                <c:pt idx="8">
                  <c:v>40.3694652</c:v>
                </c:pt>
                <c:pt idx="9">
                  <c:v>51.730789866666669</c:v>
                </c:pt>
                <c:pt idx="10">
                  <c:v>63.069504666666667</c:v>
                </c:pt>
                <c:pt idx="11">
                  <c:v>73.503822533333334</c:v>
                </c:pt>
                <c:pt idx="12">
                  <c:v>82.332357333333334</c:v>
                </c:pt>
                <c:pt idx="13">
                  <c:v>89.094506666666675</c:v>
                </c:pt>
                <c:pt idx="14">
                  <c:v>93.75218053333333</c:v>
                </c:pt>
                <c:pt idx="15">
                  <c:v>96.652377466666664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E-4245-9593-AA26C5DD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Caso2!$E$4:$E$19</c:f>
              <c:numCache>
                <c:formatCode>General</c:formatCode>
                <c:ptCount val="16"/>
                <c:pt idx="0">
                  <c:v>60.067017300000003</c:v>
                </c:pt>
                <c:pt idx="1">
                  <c:v>60.0905962</c:v>
                </c:pt>
                <c:pt idx="2">
                  <c:v>60.1171851</c:v>
                </c:pt>
                <c:pt idx="3">
                  <c:v>60.126030499999999</c:v>
                </c:pt>
                <c:pt idx="4">
                  <c:v>60.931513199999998</c:v>
                </c:pt>
                <c:pt idx="5">
                  <c:v>62.615970300000001</c:v>
                </c:pt>
                <c:pt idx="6">
                  <c:v>68.859802000000002</c:v>
                </c:pt>
                <c:pt idx="7">
                  <c:v>90.072748700000005</c:v>
                </c:pt>
                <c:pt idx="8">
                  <c:v>130.096507</c:v>
                </c:pt>
                <c:pt idx="9">
                  <c:v>149.50998000000001</c:v>
                </c:pt>
                <c:pt idx="10">
                  <c:v>153.69661099999999</c:v>
                </c:pt>
                <c:pt idx="11">
                  <c:v>155.30931699999999</c:v>
                </c:pt>
                <c:pt idx="12">
                  <c:v>156.17568800000001</c:v>
                </c:pt>
                <c:pt idx="13">
                  <c:v>156.73288199999999</c:v>
                </c:pt>
                <c:pt idx="14">
                  <c:v>157.129998</c:v>
                </c:pt>
                <c:pt idx="15">
                  <c:v>157.429282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9-4BD0-A20E-0CE41713E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Caso2!$F$4:$F$19</c:f>
              <c:numCache>
                <c:formatCode>General</c:formatCode>
                <c:ptCount val="16"/>
                <c:pt idx="0">
                  <c:v>154.25135499999999</c:v>
                </c:pt>
                <c:pt idx="1">
                  <c:v>156.37230199999999</c:v>
                </c:pt>
                <c:pt idx="2">
                  <c:v>158.62530000000001</c:v>
                </c:pt>
                <c:pt idx="3">
                  <c:v>159.338448</c:v>
                </c:pt>
                <c:pt idx="4">
                  <c:v>159.80864800000001</c:v>
                </c:pt>
                <c:pt idx="5">
                  <c:v>159.84183400000001</c:v>
                </c:pt>
                <c:pt idx="6">
                  <c:v>159.878929</c:v>
                </c:pt>
                <c:pt idx="7">
                  <c:v>159.91819799999999</c:v>
                </c:pt>
                <c:pt idx="8">
                  <c:v>159.959711</c:v>
                </c:pt>
                <c:pt idx="9">
                  <c:v>160.00458399999999</c:v>
                </c:pt>
                <c:pt idx="10">
                  <c:v>160.04959199999999</c:v>
                </c:pt>
                <c:pt idx="11">
                  <c:v>160.091454</c:v>
                </c:pt>
                <c:pt idx="12">
                  <c:v>160.12727000000001</c:v>
                </c:pt>
                <c:pt idx="13">
                  <c:v>160.15500800000001</c:v>
                </c:pt>
                <c:pt idx="14">
                  <c:v>160.17432700000001</c:v>
                </c:pt>
                <c:pt idx="15">
                  <c:v>160.18649300000001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0-4974-B6DE-104E58F4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Caso3!$S$4:$S$19</c:f>
              <c:numCache>
                <c:formatCode>0.00</c:formatCode>
                <c:ptCount val="16"/>
                <c:pt idx="0">
                  <c:v>71.578535428571428</c:v>
                </c:pt>
                <c:pt idx="1">
                  <c:v>82.034126285714279</c:v>
                </c:pt>
                <c:pt idx="2">
                  <c:v>93.781351999999998</c:v>
                </c:pt>
                <c:pt idx="3">
                  <c:v>97.641172571428569</c:v>
                </c:pt>
                <c:pt idx="4">
                  <c:v>99.999999428571428</c:v>
                </c:pt>
                <c:pt idx="5">
                  <c:v>100.00000057142857</c:v>
                </c:pt>
                <c:pt idx="6">
                  <c:v>99.999999428571428</c:v>
                </c:pt>
                <c:pt idx="7">
                  <c:v>99.999996571428554</c:v>
                </c:pt>
                <c:pt idx="8">
                  <c:v>100.00000628571429</c:v>
                </c:pt>
                <c:pt idx="9">
                  <c:v>100.00000114285713</c:v>
                </c:pt>
                <c:pt idx="10">
                  <c:v>100</c:v>
                </c:pt>
                <c:pt idx="11">
                  <c:v>99.999995428571424</c:v>
                </c:pt>
                <c:pt idx="12">
                  <c:v>99.99999885714287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D-4A38-9BC1-B966F47AE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Caso3!$T$4:$T$19</c:f>
              <c:numCache>
                <c:formatCode>0.00</c:formatCode>
                <c:ptCount val="16"/>
                <c:pt idx="0">
                  <c:v>1.45671368E-3</c:v>
                </c:pt>
                <c:pt idx="1">
                  <c:v>1.720374386666667E-3</c:v>
                </c:pt>
                <c:pt idx="2">
                  <c:v>2.0408540400000002E-3</c:v>
                </c:pt>
                <c:pt idx="3">
                  <c:v>2.1525775066666667E-3</c:v>
                </c:pt>
                <c:pt idx="4">
                  <c:v>2.8477308266666665</c:v>
                </c:pt>
                <c:pt idx="5">
                  <c:v>11.11670324</c:v>
                </c:pt>
                <c:pt idx="6">
                  <c:v>20.355268800000001</c:v>
                </c:pt>
                <c:pt idx="7">
                  <c:v>30.147836000000002</c:v>
                </c:pt>
                <c:pt idx="8">
                  <c:v>40.598407200000004</c:v>
                </c:pt>
                <c:pt idx="9">
                  <c:v>51.993766266666661</c:v>
                </c:pt>
                <c:pt idx="10">
                  <c:v>63.328473199999998</c:v>
                </c:pt>
                <c:pt idx="11">
                  <c:v>73.741708000000003</c:v>
                </c:pt>
                <c:pt idx="12">
                  <c:v>82.530535733333338</c:v>
                </c:pt>
                <c:pt idx="13">
                  <c:v>89.241920533333328</c:v>
                </c:pt>
                <c:pt idx="14">
                  <c:v>93.850099333333333</c:v>
                </c:pt>
                <c:pt idx="15">
                  <c:v>96.711178000000004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0-476C-B118-073CAAFD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Caso3!$E$4:$E$19</c:f>
              <c:numCache>
                <c:formatCode>General</c:formatCode>
                <c:ptCount val="16"/>
                <c:pt idx="0">
                  <c:v>60.181951400000003</c:v>
                </c:pt>
                <c:pt idx="1">
                  <c:v>60.2069963</c:v>
                </c:pt>
                <c:pt idx="2">
                  <c:v>60.235268099999999</c:v>
                </c:pt>
                <c:pt idx="3">
                  <c:v>60.246414000000001</c:v>
                </c:pt>
                <c:pt idx="4">
                  <c:v>61.404553200000002</c:v>
                </c:pt>
                <c:pt idx="5">
                  <c:v>63.463675000000002</c:v>
                </c:pt>
                <c:pt idx="6">
                  <c:v>68.581614299999998</c:v>
                </c:pt>
                <c:pt idx="7">
                  <c:v>85.099081100000006</c:v>
                </c:pt>
                <c:pt idx="8">
                  <c:v>123.98157</c:v>
                </c:pt>
                <c:pt idx="9">
                  <c:v>145.66680099999999</c:v>
                </c:pt>
                <c:pt idx="10">
                  <c:v>151.390896</c:v>
                </c:pt>
                <c:pt idx="11">
                  <c:v>153.74027799999999</c:v>
                </c:pt>
                <c:pt idx="12">
                  <c:v>155.01842400000001</c:v>
                </c:pt>
                <c:pt idx="13">
                  <c:v>155.83397400000001</c:v>
                </c:pt>
                <c:pt idx="14">
                  <c:v>156.40644700000001</c:v>
                </c:pt>
                <c:pt idx="15">
                  <c:v>156.83159800000001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1-45D7-B0E4-EBC7E64D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Caso3!$F$4:$F$19</c:f>
              <c:numCache>
                <c:formatCode>General</c:formatCode>
                <c:ptCount val="16"/>
                <c:pt idx="0">
                  <c:v>154.270611</c:v>
                </c:pt>
                <c:pt idx="1">
                  <c:v>156.39507499999999</c:v>
                </c:pt>
                <c:pt idx="2">
                  <c:v>158.651782</c:v>
                </c:pt>
                <c:pt idx="3">
                  <c:v>159.36609300000001</c:v>
                </c:pt>
                <c:pt idx="4">
                  <c:v>159.807909</c:v>
                </c:pt>
                <c:pt idx="5">
                  <c:v>159.84133499999999</c:v>
                </c:pt>
                <c:pt idx="6">
                  <c:v>159.87867600000001</c:v>
                </c:pt>
                <c:pt idx="7">
                  <c:v>159.91821400000001</c:v>
                </c:pt>
                <c:pt idx="8">
                  <c:v>159.960115</c:v>
                </c:pt>
                <c:pt idx="9">
                  <c:v>160.00521900000001</c:v>
                </c:pt>
                <c:pt idx="10">
                  <c:v>160.05032499999999</c:v>
                </c:pt>
                <c:pt idx="11">
                  <c:v>160.09220300000001</c:v>
                </c:pt>
                <c:pt idx="12">
                  <c:v>160.12794</c:v>
                </c:pt>
                <c:pt idx="13">
                  <c:v>160.155531</c:v>
                </c:pt>
                <c:pt idx="14">
                  <c:v>160.17468700000001</c:v>
                </c:pt>
                <c:pt idx="15">
                  <c:v>160.18671499999999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7-47AD-ACD8-CECC510FB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Caso4!$S$4:$S$19</c:f>
              <c:numCache>
                <c:formatCode>0.00</c:formatCode>
                <c:ptCount val="16"/>
                <c:pt idx="0">
                  <c:v>46.666590057142855</c:v>
                </c:pt>
                <c:pt idx="1">
                  <c:v>67.769660228571425</c:v>
                </c:pt>
                <c:pt idx="2">
                  <c:v>91.471634400000013</c:v>
                </c:pt>
                <c:pt idx="3">
                  <c:v>99.257708571428566</c:v>
                </c:pt>
                <c:pt idx="4">
                  <c:v>99.999986742857146</c:v>
                </c:pt>
                <c:pt idx="5">
                  <c:v>100.0000016</c:v>
                </c:pt>
                <c:pt idx="6">
                  <c:v>100</c:v>
                </c:pt>
                <c:pt idx="7">
                  <c:v>100.00001337142857</c:v>
                </c:pt>
                <c:pt idx="8">
                  <c:v>99.999998514285735</c:v>
                </c:pt>
                <c:pt idx="9">
                  <c:v>100.00000011428571</c:v>
                </c:pt>
                <c:pt idx="10">
                  <c:v>100</c:v>
                </c:pt>
                <c:pt idx="11">
                  <c:v>100</c:v>
                </c:pt>
                <c:pt idx="12">
                  <c:v>99.999997828571423</c:v>
                </c:pt>
                <c:pt idx="13">
                  <c:v>99.99999885714287</c:v>
                </c:pt>
                <c:pt idx="14">
                  <c:v>99.99999954285714</c:v>
                </c:pt>
                <c:pt idx="15">
                  <c:v>99.999999885714288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4876-86C6-E56C095A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Caso4!$T$4:$T$19</c:f>
              <c:numCache>
                <c:formatCode>0.00</c:formatCode>
                <c:ptCount val="16"/>
                <c:pt idx="0">
                  <c:v>2.4265731133333335E-4</c:v>
                </c:pt>
                <c:pt idx="1">
                  <c:v>3.6477867800000001E-4</c:v>
                </c:pt>
                <c:pt idx="2">
                  <c:v>5.1377733733333334E-4</c:v>
                </c:pt>
                <c:pt idx="3">
                  <c:v>5.6588327399999998E-4</c:v>
                </c:pt>
                <c:pt idx="4">
                  <c:v>3.7787568066666668</c:v>
                </c:pt>
                <c:pt idx="5">
                  <c:v>11.787078200000002</c:v>
                </c:pt>
                <c:pt idx="6">
                  <c:v>20.658192666666668</c:v>
                </c:pt>
                <c:pt idx="7">
                  <c:v>30.105958533333329</c:v>
                </c:pt>
                <c:pt idx="8">
                  <c:v>40.264889400000001</c:v>
                </c:pt>
                <c:pt idx="9">
                  <c:v>51.324874866666669</c:v>
                </c:pt>
                <c:pt idx="10">
                  <c:v>62.474234799999998</c:v>
                </c:pt>
                <c:pt idx="11">
                  <c:v>72.897370666666674</c:v>
                </c:pt>
                <c:pt idx="12">
                  <c:v>81.851255333333327</c:v>
                </c:pt>
                <c:pt idx="13">
                  <c:v>88.788681333333329</c:v>
                </c:pt>
                <c:pt idx="14">
                  <c:v>93.590728666666649</c:v>
                </c:pt>
                <c:pt idx="15">
                  <c:v>96.577089333333333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F-4292-8041-EFE3A354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Caso4!$E$4:$E$19</c:f>
              <c:numCache>
                <c:formatCode>General</c:formatCode>
                <c:ptCount val="16"/>
                <c:pt idx="0">
                  <c:v>60.071014300000002</c:v>
                </c:pt>
                <c:pt idx="1">
                  <c:v>60.095201500000002</c:v>
                </c:pt>
                <c:pt idx="2">
                  <c:v>60.122027899999999</c:v>
                </c:pt>
                <c:pt idx="3">
                  <c:v>60.130884100000003</c:v>
                </c:pt>
                <c:pt idx="4">
                  <c:v>61.205633900000002</c:v>
                </c:pt>
                <c:pt idx="5">
                  <c:v>64.614622999999995</c:v>
                </c:pt>
                <c:pt idx="6">
                  <c:v>77.002752000000001</c:v>
                </c:pt>
                <c:pt idx="7">
                  <c:v>101.412032</c:v>
                </c:pt>
                <c:pt idx="8">
                  <c:v>131.98696100000001</c:v>
                </c:pt>
                <c:pt idx="9">
                  <c:v>147.08625900000001</c:v>
                </c:pt>
                <c:pt idx="10">
                  <c:v>151.642743</c:v>
                </c:pt>
                <c:pt idx="11">
                  <c:v>153.621758</c:v>
                </c:pt>
                <c:pt idx="12">
                  <c:v>154.75769700000001</c:v>
                </c:pt>
                <c:pt idx="13">
                  <c:v>155.529158</c:v>
                </c:pt>
                <c:pt idx="14">
                  <c:v>156.10508999999999</c:v>
                </c:pt>
                <c:pt idx="15">
                  <c:v>156.554644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4-447D-B310-9C341CFA0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Caso4!$F$4:$F$19</c:f>
              <c:numCache>
                <c:formatCode>General</c:formatCode>
                <c:ptCount val="16"/>
                <c:pt idx="0">
                  <c:v>154.23951199999999</c:v>
                </c:pt>
                <c:pt idx="1">
                  <c:v>156.35967500000001</c:v>
                </c:pt>
                <c:pt idx="2">
                  <c:v>158.61183800000001</c:v>
                </c:pt>
                <c:pt idx="3">
                  <c:v>159.324716</c:v>
                </c:pt>
                <c:pt idx="4">
                  <c:v>159.42254600000001</c:v>
                </c:pt>
                <c:pt idx="5">
                  <c:v>159.487312</c:v>
                </c:pt>
                <c:pt idx="6">
                  <c:v>159.55901900000001</c:v>
                </c:pt>
                <c:pt idx="7">
                  <c:v>159.63524699999999</c:v>
                </c:pt>
                <c:pt idx="8">
                  <c:v>159.71658199999999</c:v>
                </c:pt>
                <c:pt idx="9">
                  <c:v>159.80417800000001</c:v>
                </c:pt>
                <c:pt idx="10">
                  <c:v>159.89290800000001</c:v>
                </c:pt>
                <c:pt idx="11">
                  <c:v>159.97670299999999</c:v>
                </c:pt>
                <c:pt idx="12">
                  <c:v>160.04947100000001</c:v>
                </c:pt>
                <c:pt idx="13">
                  <c:v>160.10646700000001</c:v>
                </c:pt>
                <c:pt idx="14">
                  <c:v>160.14635200000001</c:v>
                </c:pt>
                <c:pt idx="15">
                  <c:v>160.171434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B-4B63-A59E-71F53ACB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Caso5!$S$4:$S$19</c:f>
              <c:numCache>
                <c:formatCode>0.00</c:formatCode>
                <c:ptCount val="16"/>
                <c:pt idx="0">
                  <c:v>81.160214736842093</c:v>
                </c:pt>
                <c:pt idx="1">
                  <c:v>92.723998195488718</c:v>
                </c:pt>
                <c:pt idx="2">
                  <c:v>100.00000060150377</c:v>
                </c:pt>
                <c:pt idx="3">
                  <c:v>99.999983759398518</c:v>
                </c:pt>
                <c:pt idx="4">
                  <c:v>99.999977142857148</c:v>
                </c:pt>
                <c:pt idx="5">
                  <c:v>99.99995368421051</c:v>
                </c:pt>
                <c:pt idx="6">
                  <c:v>99.999969323308264</c:v>
                </c:pt>
                <c:pt idx="7">
                  <c:v>100.00000481203008</c:v>
                </c:pt>
                <c:pt idx="8">
                  <c:v>99.999999398496229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99.999997593984986</c:v>
                </c:pt>
                <c:pt idx="13">
                  <c:v>99.999998796992486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8-423E-8C16-C05F345E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Caso5!$T$4:$T$19</c:f>
              <c:numCache>
                <c:formatCode>0.00</c:formatCode>
                <c:ptCount val="16"/>
                <c:pt idx="0">
                  <c:v>1.0365693754385964E-3</c:v>
                </c:pt>
                <c:pt idx="1">
                  <c:v>1.2491752350877192E-3</c:v>
                </c:pt>
                <c:pt idx="2">
                  <c:v>2.0448887789473682</c:v>
                </c:pt>
                <c:pt idx="3">
                  <c:v>4.1212535859649124</c:v>
                </c:pt>
                <c:pt idx="4">
                  <c:v>9.6480994385964909</c:v>
                </c:pt>
                <c:pt idx="5">
                  <c:v>18.420950877192983</c:v>
                </c:pt>
                <c:pt idx="6">
                  <c:v>27.79764449122807</c:v>
                </c:pt>
                <c:pt idx="7">
                  <c:v>37.77999389473684</c:v>
                </c:pt>
                <c:pt idx="8">
                  <c:v>48.62566785964912</c:v>
                </c:pt>
                <c:pt idx="9">
                  <c:v>59.851688561403513</c:v>
                </c:pt>
                <c:pt idx="10">
                  <c:v>70.550879298245619</c:v>
                </c:pt>
                <c:pt idx="11">
                  <c:v>79.938708070175437</c:v>
                </c:pt>
                <c:pt idx="12">
                  <c:v>87.388453333333331</c:v>
                </c:pt>
                <c:pt idx="13">
                  <c:v>92.673998596491245</c:v>
                </c:pt>
                <c:pt idx="14">
                  <c:v>96.034128421052642</c:v>
                </c:pt>
                <c:pt idx="15">
                  <c:v>97.976633684210526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B-4F15-BAEB-BC132FC7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Caso5!$E$4:$E$19</c:f>
              <c:numCache>
                <c:formatCode>General</c:formatCode>
                <c:ptCount val="16"/>
                <c:pt idx="0">
                  <c:v>60.194771699999997</c:v>
                </c:pt>
                <c:pt idx="1">
                  <c:v>60.221536</c:v>
                </c:pt>
                <c:pt idx="2">
                  <c:v>61.178087400000003</c:v>
                </c:pt>
                <c:pt idx="3">
                  <c:v>61.722151400000001</c:v>
                </c:pt>
                <c:pt idx="4">
                  <c:v>63.417572700000001</c:v>
                </c:pt>
                <c:pt idx="5">
                  <c:v>69.396476399999997</c:v>
                </c:pt>
                <c:pt idx="6">
                  <c:v>85.181838999999997</c:v>
                </c:pt>
                <c:pt idx="7">
                  <c:v>113.931568</c:v>
                </c:pt>
                <c:pt idx="8">
                  <c:v>138.67828299999999</c:v>
                </c:pt>
                <c:pt idx="9">
                  <c:v>147.62981199999999</c:v>
                </c:pt>
                <c:pt idx="10">
                  <c:v>151.20147600000001</c:v>
                </c:pt>
                <c:pt idx="11">
                  <c:v>153.08956800000001</c:v>
                </c:pt>
                <c:pt idx="12">
                  <c:v>154.28704500000001</c:v>
                </c:pt>
                <c:pt idx="13">
                  <c:v>155.134972</c:v>
                </c:pt>
                <c:pt idx="14">
                  <c:v>155.77289500000001</c:v>
                </c:pt>
                <c:pt idx="15">
                  <c:v>156.267886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7-467B-9198-CF9633D83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Caso5!$F$4:$F$19</c:f>
              <c:numCache>
                <c:formatCode>General</c:formatCode>
                <c:ptCount val="16"/>
                <c:pt idx="0">
                  <c:v>155.82902799999999</c:v>
                </c:pt>
                <c:pt idx="1">
                  <c:v>158.05427900000001</c:v>
                </c:pt>
                <c:pt idx="2">
                  <c:v>159.409524</c:v>
                </c:pt>
                <c:pt idx="3">
                  <c:v>159.42628300000001</c:v>
                </c:pt>
                <c:pt idx="4">
                  <c:v>159.47091</c:v>
                </c:pt>
                <c:pt idx="5">
                  <c:v>159.54173299999999</c:v>
                </c:pt>
                <c:pt idx="6">
                  <c:v>159.617344</c:v>
                </c:pt>
                <c:pt idx="7">
                  <c:v>159.69748100000001</c:v>
                </c:pt>
                <c:pt idx="8">
                  <c:v>159.78358299999999</c:v>
                </c:pt>
                <c:pt idx="9">
                  <c:v>159.87265300000001</c:v>
                </c:pt>
                <c:pt idx="10">
                  <c:v>159.95829900000001</c:v>
                </c:pt>
                <c:pt idx="11">
                  <c:v>160.03424200000001</c:v>
                </c:pt>
                <c:pt idx="12">
                  <c:v>160.095158</c:v>
                </c:pt>
                <c:pt idx="13">
                  <c:v>160.138848</c:v>
                </c:pt>
                <c:pt idx="14">
                  <c:v>160.16693100000001</c:v>
                </c:pt>
                <c:pt idx="15">
                  <c:v>160.18335099999999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0-4CB5-BA21-6D7D5F5A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Caso6!$S$4:$S$19</c:f>
              <c:numCache>
                <c:formatCode>0.00</c:formatCode>
                <c:ptCount val="16"/>
                <c:pt idx="0">
                  <c:v>66.785215782312932</c:v>
                </c:pt>
                <c:pt idx="1">
                  <c:v>76.476556734693887</c:v>
                </c:pt>
                <c:pt idx="2">
                  <c:v>87.344708027210885</c:v>
                </c:pt>
                <c:pt idx="3">
                  <c:v>90.911313741496599</c:v>
                </c:pt>
                <c:pt idx="4">
                  <c:v>99.558450612244883</c:v>
                </c:pt>
                <c:pt idx="5">
                  <c:v>99.999996190476182</c:v>
                </c:pt>
                <c:pt idx="6">
                  <c:v>99.999996190476182</c:v>
                </c:pt>
                <c:pt idx="7">
                  <c:v>99.999983673469387</c:v>
                </c:pt>
                <c:pt idx="8">
                  <c:v>100.00000108843537</c:v>
                </c:pt>
                <c:pt idx="9">
                  <c:v>99.999998911564631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99.999997278911579</c:v>
                </c:pt>
                <c:pt idx="14">
                  <c:v>99.999998911564631</c:v>
                </c:pt>
                <c:pt idx="15">
                  <c:v>99.999999455782302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1-48E6-8829-92BC939BA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Caso6!$T$4:$T$19</c:f>
              <c:numCache>
                <c:formatCode>0.00</c:formatCode>
                <c:ptCount val="16"/>
                <c:pt idx="0">
                  <c:v>8.2847459047619056E-4</c:v>
                </c:pt>
                <c:pt idx="1">
                  <c:v>9.9465015873015871E-4</c:v>
                </c:pt>
                <c:pt idx="2">
                  <c:v>1.2025812380952381E-3</c:v>
                </c:pt>
                <c:pt idx="3">
                  <c:v>1.2765147047619047E-3</c:v>
                </c:pt>
                <c:pt idx="4">
                  <c:v>1.4686919174603176E-3</c:v>
                </c:pt>
                <c:pt idx="5">
                  <c:v>5.9655911111111113</c:v>
                </c:pt>
                <c:pt idx="6">
                  <c:v>14.341529777777778</c:v>
                </c:pt>
                <c:pt idx="7">
                  <c:v>23.403319428571429</c:v>
                </c:pt>
                <c:pt idx="8">
                  <c:v>33.083419174603172</c:v>
                </c:pt>
                <c:pt idx="9">
                  <c:v>43.689796507936514</c:v>
                </c:pt>
                <c:pt idx="10">
                  <c:v>54.90470476190476</c:v>
                </c:pt>
                <c:pt idx="11">
                  <c:v>65.892683809523803</c:v>
                </c:pt>
                <c:pt idx="12">
                  <c:v>75.915176507936508</c:v>
                </c:pt>
                <c:pt idx="13">
                  <c:v>84.267471746031759</c:v>
                </c:pt>
                <c:pt idx="14">
                  <c:v>90.518631746031744</c:v>
                </c:pt>
                <c:pt idx="15">
                  <c:v>94.699036825396817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C-46EB-93B1-D45F0BC84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Caso6!$E$4:$E$19</c:f>
              <c:numCache>
                <c:formatCode>General</c:formatCode>
                <c:ptCount val="16"/>
                <c:pt idx="0">
                  <c:v>60.178269299999997</c:v>
                </c:pt>
                <c:pt idx="1">
                  <c:v>60.202883900000003</c:v>
                </c:pt>
                <c:pt idx="2">
                  <c:v>60.230409299999998</c:v>
                </c:pt>
                <c:pt idx="3">
                  <c:v>60.238118800000002</c:v>
                </c:pt>
                <c:pt idx="4">
                  <c:v>60.261603600000001</c:v>
                </c:pt>
                <c:pt idx="5">
                  <c:v>62.507451400000001</c:v>
                </c:pt>
                <c:pt idx="6">
                  <c:v>67.067666000000003</c:v>
                </c:pt>
                <c:pt idx="7">
                  <c:v>80.424554599999993</c:v>
                </c:pt>
                <c:pt idx="8">
                  <c:v>108.98452899999999</c:v>
                </c:pt>
                <c:pt idx="9">
                  <c:v>137.027343</c:v>
                </c:pt>
                <c:pt idx="10">
                  <c:v>147.13212300000001</c:v>
                </c:pt>
                <c:pt idx="11">
                  <c:v>150.95714599999999</c:v>
                </c:pt>
                <c:pt idx="12">
                  <c:v>152.91738799999999</c:v>
                </c:pt>
                <c:pt idx="13">
                  <c:v>154.13934599999999</c:v>
                </c:pt>
                <c:pt idx="14">
                  <c:v>155.000224</c:v>
                </c:pt>
                <c:pt idx="15">
                  <c:v>155.65063799999999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E-4955-B596-E6CD7532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Caso6!$F$4:$F$19</c:f>
              <c:numCache>
                <c:formatCode>General</c:formatCode>
                <c:ptCount val="16"/>
                <c:pt idx="0">
                  <c:v>152.82772299999999</c:v>
                </c:pt>
                <c:pt idx="1">
                  <c:v>154.85863699999999</c:v>
                </c:pt>
                <c:pt idx="2">
                  <c:v>157.016244</c:v>
                </c:pt>
                <c:pt idx="3">
                  <c:v>157.699219</c:v>
                </c:pt>
                <c:pt idx="4">
                  <c:v>159.30801099999999</c:v>
                </c:pt>
                <c:pt idx="5">
                  <c:v>159.43682799999999</c:v>
                </c:pt>
                <c:pt idx="6">
                  <c:v>159.50483700000001</c:v>
                </c:pt>
                <c:pt idx="7">
                  <c:v>159.57834600000001</c:v>
                </c:pt>
                <c:pt idx="8">
                  <c:v>159.65655599999999</c:v>
                </c:pt>
                <c:pt idx="9">
                  <c:v>159.74119999999999</c:v>
                </c:pt>
                <c:pt idx="10">
                  <c:v>159.83046300000001</c:v>
                </c:pt>
                <c:pt idx="11">
                  <c:v>159.91867400000001</c:v>
                </c:pt>
                <c:pt idx="12">
                  <c:v>159.99999199999999</c:v>
                </c:pt>
                <c:pt idx="13">
                  <c:v>160.06849800000001</c:v>
                </c:pt>
                <c:pt idx="14">
                  <c:v>160.120329</c:v>
                </c:pt>
                <c:pt idx="15">
                  <c:v>160.155372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2-494F-BFFA-A64B4930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B4BA5-D9CD-667A-777D-393FAA196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BBAF0-5FF3-0CC8-2F53-84E51A87F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15A48-66AC-2E27-6E25-25383FB0E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722C1-E4E3-95CD-D4A4-10D75581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363A3-F9F1-4DD4-A38A-C06E06D95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1A952-966E-4A4A-BC0D-ACCCBE8A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ADB98-13FE-4132-9ECE-EC368992B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61391D-805E-487A-8010-50846E84E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1D435-7F08-463D-9F60-66FAE776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046F73-9FDB-4A5B-A695-5D5314B9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C5E71-06A8-45AD-A9A5-8094965CF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5E5F60-FBCF-4255-BADF-4A3A66AE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75B7-7B86-45FF-8E1A-3BD9FDAC5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651AE-3D96-459D-B588-DC1DC80B3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F7EDFF-E6A1-4A50-8412-977E1FAE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A36F0C-AF0E-49D2-87EE-FE2707C26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9DD80-B7F3-4332-AEFE-D5EC4F161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858E0-5D1D-493E-8F69-858CA0C59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BF33C-DA85-4D9D-A66B-F9589015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6EBE65-EC37-4C8A-8E94-705A8AEC6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8F5E3-6F67-41F1-8F0D-01E28AE19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86329-7C85-4625-950E-58D4B64BA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2E86A-7A0E-4CA9-9C18-A0BC3431F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1D935-349C-4A61-98B8-9BE48825C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0A6-5BE0-4646-8B3D-EB6061B86E4E}">
  <dimension ref="A1:Y17"/>
  <sheetViews>
    <sheetView tabSelected="1" workbookViewId="0">
      <selection activeCell="A30" sqref="A30"/>
    </sheetView>
  </sheetViews>
  <sheetFormatPr defaultColWidth="30.28515625" defaultRowHeight="15" x14ac:dyDescent="0.25"/>
  <cols>
    <col min="1" max="1" width="19.5703125" style="4" bestFit="1" customWidth="1"/>
    <col min="2" max="5" width="18.7109375" style="4" bestFit="1" customWidth="1"/>
    <col min="6" max="7" width="18.7109375" style="4" customWidth="1"/>
    <col min="8" max="11" width="17.5703125" style="4" bestFit="1" customWidth="1"/>
    <col min="12" max="13" width="17.5703125" style="4" customWidth="1"/>
    <col min="14" max="17" width="27.42578125" style="4" bestFit="1" customWidth="1"/>
    <col min="18" max="19" width="27.42578125" style="4" customWidth="1"/>
    <col min="20" max="23" width="21.140625" style="4" bestFit="1" customWidth="1"/>
    <col min="24" max="16384" width="30.28515625" style="4"/>
  </cols>
  <sheetData>
    <row r="1" spans="1:25" x14ac:dyDescent="0.25">
      <c r="A1" s="4" t="s">
        <v>26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45</v>
      </c>
      <c r="G1" s="4" t="s">
        <v>46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47</v>
      </c>
      <c r="M1" s="4" t="s">
        <v>48</v>
      </c>
      <c r="N1" s="4" t="s">
        <v>27</v>
      </c>
      <c r="O1" s="4" t="s">
        <v>36</v>
      </c>
      <c r="P1" s="4" t="s">
        <v>37</v>
      </c>
      <c r="Q1" s="4" t="s">
        <v>38</v>
      </c>
      <c r="R1" s="4" t="s">
        <v>49</v>
      </c>
      <c r="S1" s="4" t="s">
        <v>50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51</v>
      </c>
      <c r="Y1" s="4" t="s">
        <v>52</v>
      </c>
    </row>
    <row r="2" spans="1:25" x14ac:dyDescent="0.25">
      <c r="A2" s="4">
        <v>2</v>
      </c>
      <c r="B2" s="4">
        <v>60.186539600000003</v>
      </c>
      <c r="C2" s="4">
        <v>60.067017300000003</v>
      </c>
      <c r="D2" s="4">
        <v>60.181951400000003</v>
      </c>
      <c r="E2" s="4">
        <v>60.071014300000002</v>
      </c>
      <c r="F2">
        <v>60.194771699999997</v>
      </c>
      <c r="G2" s="4">
        <v>60.178269299999997</v>
      </c>
      <c r="H2" s="4">
        <v>154.258658</v>
      </c>
      <c r="I2" s="4">
        <v>154.25135499999999</v>
      </c>
      <c r="J2" s="4">
        <v>154.270611</v>
      </c>
      <c r="K2" s="4">
        <v>154.23951199999999</v>
      </c>
      <c r="L2">
        <v>155.82902799999999</v>
      </c>
      <c r="M2" s="4">
        <v>152.82772299999999</v>
      </c>
      <c r="N2" s="4">
        <v>73.477633142857144</v>
      </c>
      <c r="O2" s="4">
        <v>42.869439885714286</v>
      </c>
      <c r="P2" s="4">
        <v>71.578535428571428</v>
      </c>
      <c r="Q2" s="4">
        <v>46.666590057142855</v>
      </c>
      <c r="R2" s="3">
        <v>81.160214736842093</v>
      </c>
      <c r="S2" s="4">
        <v>66.785215782312932</v>
      </c>
      <c r="T2" s="4">
        <v>9.241946866666667E-4</v>
      </c>
      <c r="U2" s="4">
        <v>3.9092863599999997E-4</v>
      </c>
      <c r="V2" s="5">
        <v>1.45671368E-3</v>
      </c>
      <c r="W2" s="4">
        <v>2.4265731133333335E-4</v>
      </c>
      <c r="X2" s="4">
        <v>1.0365693754385964E-3</v>
      </c>
      <c r="Y2" s="4">
        <v>8.2847459047619056E-4</v>
      </c>
    </row>
    <row r="3" spans="1:25" x14ac:dyDescent="0.25">
      <c r="A3" s="4">
        <v>2.1290602000000001</v>
      </c>
      <c r="B3" s="4">
        <v>60.211882199999998</v>
      </c>
      <c r="C3" s="4">
        <v>60.0905962</v>
      </c>
      <c r="D3" s="4">
        <v>60.2069963</v>
      </c>
      <c r="E3" s="4">
        <v>60.095201500000002</v>
      </c>
      <c r="F3">
        <v>60.221536</v>
      </c>
      <c r="G3" s="4">
        <v>60.202883900000003</v>
      </c>
      <c r="H3" s="4">
        <v>156.38244800000001</v>
      </c>
      <c r="I3" s="4">
        <v>156.37230199999999</v>
      </c>
      <c r="J3" s="4">
        <v>156.39507499999999</v>
      </c>
      <c r="K3" s="4">
        <v>156.35967500000001</v>
      </c>
      <c r="L3">
        <v>158.05427900000001</v>
      </c>
      <c r="M3" s="4">
        <v>154.85863699999999</v>
      </c>
      <c r="N3" s="4">
        <v>84.034944571428568</v>
      </c>
      <c r="O3" s="4">
        <v>63.769694514285717</v>
      </c>
      <c r="P3" s="4">
        <v>82.034126285714279</v>
      </c>
      <c r="Q3" s="4">
        <v>67.769660228571425</v>
      </c>
      <c r="R3" s="3">
        <v>92.723998195488718</v>
      </c>
      <c r="S3" s="4">
        <v>76.476556734693887</v>
      </c>
      <c r="T3" s="4">
        <v>1.1113452000000002E-3</v>
      </c>
      <c r="U3" s="4">
        <v>5.9271696000000003E-4</v>
      </c>
      <c r="V3" s="5">
        <v>1.720374386666667E-3</v>
      </c>
      <c r="W3" s="4">
        <v>3.6477867800000001E-4</v>
      </c>
      <c r="X3" s="4">
        <v>1.2491752350877192E-3</v>
      </c>
      <c r="Y3" s="4">
        <v>9.9465015873015871E-4</v>
      </c>
    </row>
    <row r="4" spans="1:25" x14ac:dyDescent="0.25">
      <c r="A4" s="4">
        <v>2.2664486699999999</v>
      </c>
      <c r="B4" s="4">
        <v>60.240434499999999</v>
      </c>
      <c r="C4" s="4">
        <v>60.1171851</v>
      </c>
      <c r="D4" s="4">
        <v>60.235268099999999</v>
      </c>
      <c r="E4" s="4">
        <v>60.122027899999999</v>
      </c>
      <c r="F4">
        <v>61.178087400000003</v>
      </c>
      <c r="G4" s="4">
        <v>60.230409299999998</v>
      </c>
      <c r="H4" s="4">
        <v>158.63820999999999</v>
      </c>
      <c r="I4" s="4">
        <v>158.62530000000001</v>
      </c>
      <c r="J4" s="4">
        <v>158.651782</v>
      </c>
      <c r="K4" s="4">
        <v>158.61183800000001</v>
      </c>
      <c r="L4">
        <v>159.409524</v>
      </c>
      <c r="M4" s="4">
        <v>157.016244</v>
      </c>
      <c r="N4" s="4">
        <v>95.893004000000005</v>
      </c>
      <c r="O4" s="4">
        <v>87.250256914285714</v>
      </c>
      <c r="P4" s="4">
        <v>93.781351999999998</v>
      </c>
      <c r="Q4" s="4">
        <v>91.471634400000013</v>
      </c>
      <c r="R4" s="3">
        <v>100.00000060150377</v>
      </c>
      <c r="S4" s="4">
        <v>87.344708027210885</v>
      </c>
      <c r="T4" s="4">
        <v>1.3473702599999999E-3</v>
      </c>
      <c r="U4" s="4">
        <v>8.3055861333333346E-4</v>
      </c>
      <c r="V4" s="5">
        <v>2.0408540400000002E-3</v>
      </c>
      <c r="W4" s="4">
        <v>5.1377733733333334E-4</v>
      </c>
      <c r="X4" s="4">
        <v>2.0448887789473682</v>
      </c>
      <c r="Y4" s="4">
        <v>1.2025812380952381E-3</v>
      </c>
    </row>
    <row r="5" spans="1:25" x14ac:dyDescent="0.25">
      <c r="A5" s="4">
        <v>2.31</v>
      </c>
      <c r="B5" s="4">
        <v>60.249888900000002</v>
      </c>
      <c r="C5" s="4">
        <v>60.126030499999999</v>
      </c>
      <c r="D5" s="4">
        <v>60.246414000000001</v>
      </c>
      <c r="E5" s="4">
        <v>60.130884100000003</v>
      </c>
      <c r="F5">
        <v>61.722151400000001</v>
      </c>
      <c r="G5" s="4">
        <v>60.238118800000002</v>
      </c>
      <c r="H5" s="4">
        <v>159.35225299999999</v>
      </c>
      <c r="I5" s="4">
        <v>159.338448</v>
      </c>
      <c r="J5" s="4">
        <v>159.36609300000001</v>
      </c>
      <c r="K5" s="4">
        <v>159.324716</v>
      </c>
      <c r="L5">
        <v>159.42628300000001</v>
      </c>
      <c r="M5" s="4">
        <v>157.699219</v>
      </c>
      <c r="N5" s="4">
        <v>99.788534857142849</v>
      </c>
      <c r="O5" s="4">
        <v>94.965045485714285</v>
      </c>
      <c r="P5" s="4">
        <v>97.641172571428569</v>
      </c>
      <c r="Q5" s="4">
        <v>99.257708571428566</v>
      </c>
      <c r="R5" s="3">
        <v>99.999983759398518</v>
      </c>
      <c r="S5" s="4">
        <v>90.911313741496599</v>
      </c>
      <c r="T5" s="4">
        <v>1.4317285866666668E-3</v>
      </c>
      <c r="U5" s="4">
        <v>9.117360586666667E-4</v>
      </c>
      <c r="V5" s="5">
        <v>2.1525775066666667E-3</v>
      </c>
      <c r="W5" s="4">
        <v>5.6588327399999998E-4</v>
      </c>
      <c r="X5" s="4">
        <v>4.1212535859649124</v>
      </c>
      <c r="Y5" s="4">
        <v>1.2765147047619047E-3</v>
      </c>
    </row>
    <row r="6" spans="1:25" x14ac:dyDescent="0.25">
      <c r="A6" s="4">
        <v>2.4127028300000002</v>
      </c>
      <c r="B6" s="4">
        <v>61.737288800000002</v>
      </c>
      <c r="C6" s="4">
        <v>60.931513199999998</v>
      </c>
      <c r="D6" s="4">
        <v>61.404553200000002</v>
      </c>
      <c r="E6" s="4">
        <v>61.205633900000002</v>
      </c>
      <c r="F6">
        <v>63.417572700000001</v>
      </c>
      <c r="G6" s="4">
        <v>60.261603600000001</v>
      </c>
      <c r="H6" s="4">
        <v>159.42114100000001</v>
      </c>
      <c r="I6" s="4">
        <v>159.80864800000001</v>
      </c>
      <c r="J6" s="4">
        <v>159.807909</v>
      </c>
      <c r="K6" s="4">
        <v>159.42254600000001</v>
      </c>
      <c r="L6">
        <v>159.47091</v>
      </c>
      <c r="M6" s="4">
        <v>159.30801099999999</v>
      </c>
      <c r="N6" s="4">
        <v>99.999990285714276</v>
      </c>
      <c r="O6" s="4">
        <v>99.999986742857146</v>
      </c>
      <c r="P6" s="4">
        <v>99.999999428571428</v>
      </c>
      <c r="Q6" s="4">
        <v>99.999986742857146</v>
      </c>
      <c r="R6" s="3">
        <v>99.999977142857148</v>
      </c>
      <c r="S6" s="4">
        <v>99.558450612244883</v>
      </c>
      <c r="T6" s="4">
        <v>3.7726966133333333</v>
      </c>
      <c r="U6" s="4">
        <v>2.8624355866666669</v>
      </c>
      <c r="V6" s="5">
        <v>2.8477308266666665</v>
      </c>
      <c r="W6" s="4">
        <v>3.7787568066666668</v>
      </c>
      <c r="X6" s="4">
        <v>9.6480994385964909</v>
      </c>
      <c r="Y6" s="4">
        <v>1.4686919174603176E-3</v>
      </c>
    </row>
    <row r="7" spans="1:25" x14ac:dyDescent="0.25">
      <c r="A7" s="4">
        <v>2.5683947800000002</v>
      </c>
      <c r="B7" s="4">
        <v>64.789468900000003</v>
      </c>
      <c r="C7" s="4">
        <v>62.615970300000001</v>
      </c>
      <c r="D7" s="4">
        <v>63.463675000000002</v>
      </c>
      <c r="E7" s="4">
        <v>64.614622999999995</v>
      </c>
      <c r="F7">
        <v>69.396476399999997</v>
      </c>
      <c r="G7" s="4">
        <v>62.507451400000001</v>
      </c>
      <c r="H7" s="4">
        <v>159.486391</v>
      </c>
      <c r="I7" s="4">
        <v>159.84183400000001</v>
      </c>
      <c r="J7" s="4">
        <v>159.84133499999999</v>
      </c>
      <c r="K7" s="4">
        <v>159.487312</v>
      </c>
      <c r="L7">
        <v>159.54173299999999</v>
      </c>
      <c r="M7" s="4">
        <v>159.43682799999999</v>
      </c>
      <c r="N7" s="4">
        <v>99.999993714285708</v>
      </c>
      <c r="O7" s="4">
        <v>99.999993485714285</v>
      </c>
      <c r="P7" s="4">
        <v>100.00000057142857</v>
      </c>
      <c r="Q7" s="4">
        <v>100.0000016</v>
      </c>
      <c r="R7" s="3">
        <v>99.99995368421051</v>
      </c>
      <c r="S7" s="4">
        <v>99.999996190476182</v>
      </c>
      <c r="T7" s="4">
        <v>11.8299114</v>
      </c>
      <c r="U7" s="4">
        <v>11.082632386666667</v>
      </c>
      <c r="V7" s="5">
        <v>11.11670324</v>
      </c>
      <c r="W7" s="4">
        <v>11.787078200000002</v>
      </c>
      <c r="X7" s="4">
        <v>18.420950877192983</v>
      </c>
      <c r="Y7" s="4">
        <v>5.9655911111111113</v>
      </c>
    </row>
    <row r="8" spans="1:25" x14ac:dyDescent="0.25">
      <c r="A8" s="4">
        <v>2.7341335500000001</v>
      </c>
      <c r="B8" s="4">
        <v>73.627252799999994</v>
      </c>
      <c r="C8" s="4">
        <v>68.859802000000002</v>
      </c>
      <c r="D8" s="4">
        <v>68.581614299999998</v>
      </c>
      <c r="E8" s="4">
        <v>77.002752000000001</v>
      </c>
      <c r="F8">
        <v>85.181838999999997</v>
      </c>
      <c r="G8" s="4">
        <v>67.067666000000003</v>
      </c>
      <c r="H8" s="4">
        <v>159.55855099999999</v>
      </c>
      <c r="I8" s="4">
        <v>159.878929</v>
      </c>
      <c r="J8" s="4">
        <v>159.87867600000001</v>
      </c>
      <c r="K8" s="4">
        <v>159.55901900000001</v>
      </c>
      <c r="L8">
        <v>159.617344</v>
      </c>
      <c r="M8" s="4">
        <v>159.50483700000001</v>
      </c>
      <c r="N8" s="4">
        <v>99.999961142857146</v>
      </c>
      <c r="O8" s="4">
        <v>100</v>
      </c>
      <c r="P8" s="4">
        <v>99.999999428571428</v>
      </c>
      <c r="Q8" s="4">
        <v>100</v>
      </c>
      <c r="R8" s="3">
        <v>99.999969323308264</v>
      </c>
      <c r="S8" s="4">
        <v>99.999996190476182</v>
      </c>
      <c r="T8" s="4">
        <v>20.744412799999999</v>
      </c>
      <c r="U8" s="4">
        <v>20.272859066666665</v>
      </c>
      <c r="V8" s="5">
        <v>20.355268800000001</v>
      </c>
      <c r="W8" s="4">
        <v>20.658192666666668</v>
      </c>
      <c r="X8" s="4">
        <v>27.79764449122807</v>
      </c>
      <c r="Y8" s="4">
        <v>14.341529777777778</v>
      </c>
    </row>
    <row r="9" spans="1:25" x14ac:dyDescent="0.25">
      <c r="A9" s="4">
        <v>2.9105674700000002</v>
      </c>
      <c r="B9" s="4">
        <v>95.240318500000001</v>
      </c>
      <c r="C9" s="4">
        <v>90.072748700000005</v>
      </c>
      <c r="D9" s="4">
        <v>85.099081100000006</v>
      </c>
      <c r="E9" s="4">
        <v>101.412032</v>
      </c>
      <c r="F9">
        <v>113.931568</v>
      </c>
      <c r="G9" s="4">
        <v>80.424554599999993</v>
      </c>
      <c r="H9" s="4">
        <v>159.63528600000001</v>
      </c>
      <c r="I9" s="4">
        <v>159.91819799999999</v>
      </c>
      <c r="J9" s="4">
        <v>159.91821400000001</v>
      </c>
      <c r="K9" s="4">
        <v>159.63524699999999</v>
      </c>
      <c r="L9">
        <v>159.69748100000001</v>
      </c>
      <c r="M9" s="4">
        <v>159.57834600000001</v>
      </c>
      <c r="N9" s="4">
        <v>99.999980000000008</v>
      </c>
      <c r="O9" s="4">
        <v>100.00001714285715</v>
      </c>
      <c r="P9" s="4">
        <v>99.999996571428554</v>
      </c>
      <c r="Q9" s="4">
        <v>100.00001337142857</v>
      </c>
      <c r="R9" s="3">
        <v>100.00000481203008</v>
      </c>
      <c r="S9" s="4">
        <v>99.999983673469387</v>
      </c>
      <c r="T9" s="4">
        <v>30.243477200000005</v>
      </c>
      <c r="U9" s="4">
        <v>30.010780666666669</v>
      </c>
      <c r="V9" s="5">
        <v>30.147836000000002</v>
      </c>
      <c r="W9" s="4">
        <v>30.105958533333329</v>
      </c>
      <c r="X9" s="4">
        <v>37.77999389473684</v>
      </c>
      <c r="Y9" s="4">
        <v>23.403319428571429</v>
      </c>
    </row>
    <row r="10" spans="1:25" x14ac:dyDescent="0.25">
      <c r="A10" s="4">
        <v>3.0983866799999999</v>
      </c>
      <c r="B10" s="4">
        <v>126.917852</v>
      </c>
      <c r="C10" s="4">
        <v>130.096507</v>
      </c>
      <c r="D10" s="4">
        <v>123.98157</v>
      </c>
      <c r="E10" s="4">
        <v>131.98696100000001</v>
      </c>
      <c r="F10">
        <v>138.67828299999999</v>
      </c>
      <c r="G10" s="4">
        <v>108.98452899999999</v>
      </c>
      <c r="H10" s="4">
        <v>159.71731399999999</v>
      </c>
      <c r="I10" s="4">
        <v>159.959711</v>
      </c>
      <c r="J10" s="4">
        <v>159.960115</v>
      </c>
      <c r="K10" s="4">
        <v>159.71658199999999</v>
      </c>
      <c r="L10">
        <v>159.78358299999999</v>
      </c>
      <c r="M10" s="4">
        <v>159.65655599999999</v>
      </c>
      <c r="N10" s="4">
        <v>100.00000057142857</v>
      </c>
      <c r="O10" s="4">
        <v>100.00000022857142</v>
      </c>
      <c r="P10" s="4">
        <v>100.00000628571429</v>
      </c>
      <c r="Q10" s="4">
        <v>99.999998514285735</v>
      </c>
      <c r="R10" s="3">
        <v>99.999999398496229</v>
      </c>
      <c r="S10" s="4">
        <v>100.00000108843537</v>
      </c>
      <c r="T10" s="4">
        <v>40.481801399999995</v>
      </c>
      <c r="U10" s="4">
        <v>40.3694652</v>
      </c>
      <c r="V10" s="5">
        <v>40.598407200000004</v>
      </c>
      <c r="W10" s="4">
        <v>40.264889400000001</v>
      </c>
      <c r="X10" s="4">
        <v>48.62566785964912</v>
      </c>
      <c r="Y10" s="4">
        <v>33.083419174603172</v>
      </c>
    </row>
    <row r="11" spans="1:25" x14ac:dyDescent="0.25">
      <c r="A11" s="4">
        <v>3.2983258800000002</v>
      </c>
      <c r="B11" s="4">
        <v>143.81810400000001</v>
      </c>
      <c r="C11" s="4">
        <v>149.50998000000001</v>
      </c>
      <c r="D11" s="4">
        <v>145.66680099999999</v>
      </c>
      <c r="E11" s="4">
        <v>147.08625900000001</v>
      </c>
      <c r="F11">
        <v>147.62981199999999</v>
      </c>
      <c r="G11" s="4">
        <v>137.027343</v>
      </c>
      <c r="H11" s="4">
        <v>159.805374</v>
      </c>
      <c r="I11" s="4">
        <v>160.00458399999999</v>
      </c>
      <c r="J11" s="4">
        <v>160.00521900000001</v>
      </c>
      <c r="K11" s="4">
        <v>159.80417800000001</v>
      </c>
      <c r="L11">
        <v>159.87265300000001</v>
      </c>
      <c r="M11" s="4">
        <v>159.74119999999999</v>
      </c>
      <c r="N11" s="4">
        <v>100.00000171428572</v>
      </c>
      <c r="O11" s="4">
        <v>100.00000034285713</v>
      </c>
      <c r="P11" s="4">
        <v>100.00000114285713</v>
      </c>
      <c r="Q11" s="4">
        <v>100.00000011428571</v>
      </c>
      <c r="R11" s="3">
        <v>100</v>
      </c>
      <c r="S11" s="4">
        <v>99.999998911564631</v>
      </c>
      <c r="T11" s="4">
        <v>51.577764866666662</v>
      </c>
      <c r="U11" s="4">
        <v>51.730789866666669</v>
      </c>
      <c r="V11" s="5">
        <v>51.993766266666661</v>
      </c>
      <c r="W11" s="4">
        <v>51.324874866666669</v>
      </c>
      <c r="X11" s="4">
        <v>59.851688561403513</v>
      </c>
      <c r="Y11" s="4">
        <v>43.689796507936514</v>
      </c>
    </row>
    <row r="12" spans="1:25" x14ac:dyDescent="0.25">
      <c r="A12" s="4">
        <v>3.5111671800000002</v>
      </c>
      <c r="B12" s="4">
        <v>149.54617500000001</v>
      </c>
      <c r="C12" s="4">
        <v>153.69661099999999</v>
      </c>
      <c r="D12" s="4">
        <v>151.390896</v>
      </c>
      <c r="E12" s="4">
        <v>151.642743</v>
      </c>
      <c r="F12">
        <v>151.20147600000001</v>
      </c>
      <c r="G12" s="4">
        <v>147.13212300000001</v>
      </c>
      <c r="H12" s="4">
        <v>159.894339</v>
      </c>
      <c r="I12" s="4">
        <v>160.04959199999999</v>
      </c>
      <c r="J12" s="4">
        <v>160.05032499999999</v>
      </c>
      <c r="K12" s="4">
        <v>159.89290800000001</v>
      </c>
      <c r="L12">
        <v>159.95829900000001</v>
      </c>
      <c r="M12" s="4">
        <v>159.83046300000001</v>
      </c>
      <c r="N12" s="4">
        <v>100</v>
      </c>
      <c r="O12" s="4">
        <v>99.999996114285707</v>
      </c>
      <c r="P12" s="4">
        <v>100</v>
      </c>
      <c r="Q12" s="4">
        <v>100</v>
      </c>
      <c r="R12" s="3">
        <v>100</v>
      </c>
      <c r="S12" s="4">
        <v>100</v>
      </c>
      <c r="T12" s="4">
        <v>62.729251400000003</v>
      </c>
      <c r="U12" s="4">
        <v>63.069504666666667</v>
      </c>
      <c r="V12" s="5">
        <v>63.328473199999998</v>
      </c>
      <c r="W12" s="4">
        <v>62.474234799999998</v>
      </c>
      <c r="X12" s="4">
        <v>70.550879298245619</v>
      </c>
      <c r="Y12" s="4">
        <v>54.90470476190476</v>
      </c>
    </row>
    <row r="13" spans="1:25" x14ac:dyDescent="0.25">
      <c r="A13" s="4">
        <v>3.73774315</v>
      </c>
      <c r="B13" s="4">
        <v>152.14986500000001</v>
      </c>
      <c r="C13" s="4">
        <v>155.30931699999999</v>
      </c>
      <c r="D13" s="4">
        <v>153.74027799999999</v>
      </c>
      <c r="E13" s="4">
        <v>153.621758</v>
      </c>
      <c r="F13">
        <v>153.08956800000001</v>
      </c>
      <c r="G13" s="4">
        <v>150.95714599999999</v>
      </c>
      <c r="H13" s="4">
        <v>159.97819799999999</v>
      </c>
      <c r="I13" s="4">
        <v>160.091454</v>
      </c>
      <c r="J13" s="4">
        <v>160.09220300000001</v>
      </c>
      <c r="K13" s="4">
        <v>159.97670299999999</v>
      </c>
      <c r="L13">
        <v>160.03424200000001</v>
      </c>
      <c r="M13" s="4">
        <v>159.91867400000001</v>
      </c>
      <c r="N13" s="4">
        <v>100</v>
      </c>
      <c r="O13" s="4">
        <v>99.999998399999996</v>
      </c>
      <c r="P13" s="4">
        <v>99.999995428571424</v>
      </c>
      <c r="Q13" s="4">
        <v>100</v>
      </c>
      <c r="R13" s="3">
        <v>100</v>
      </c>
      <c r="S13" s="4">
        <v>100</v>
      </c>
      <c r="T13" s="4">
        <v>73.135623333333328</v>
      </c>
      <c r="U13" s="4">
        <v>73.503822533333334</v>
      </c>
      <c r="V13" s="5">
        <v>73.741708000000003</v>
      </c>
      <c r="W13" s="4">
        <v>72.897370666666674</v>
      </c>
      <c r="X13" s="4">
        <v>79.938708070175437</v>
      </c>
      <c r="Y13" s="4">
        <v>65.892683809523803</v>
      </c>
    </row>
    <row r="14" spans="1:25" x14ac:dyDescent="0.25">
      <c r="A14" s="4">
        <v>3.97894009</v>
      </c>
      <c r="B14" s="4">
        <v>153.653525</v>
      </c>
      <c r="C14" s="4">
        <v>156.17568800000001</v>
      </c>
      <c r="D14" s="4">
        <v>155.01842400000001</v>
      </c>
      <c r="E14" s="4">
        <v>154.75769700000001</v>
      </c>
      <c r="F14">
        <v>154.28704500000001</v>
      </c>
      <c r="G14" s="4">
        <v>152.91738799999999</v>
      </c>
      <c r="H14" s="4">
        <v>160.050838</v>
      </c>
      <c r="I14" s="4">
        <v>160.12727000000001</v>
      </c>
      <c r="J14" s="4">
        <v>160.12794</v>
      </c>
      <c r="K14" s="4">
        <v>160.04947100000001</v>
      </c>
      <c r="L14">
        <v>160.095158</v>
      </c>
      <c r="M14" s="4">
        <v>159.99999199999999</v>
      </c>
      <c r="N14" s="4">
        <v>100</v>
      </c>
      <c r="O14" s="4">
        <v>99.999999657142865</v>
      </c>
      <c r="P14" s="4">
        <v>99.99999885714287</v>
      </c>
      <c r="Q14" s="4">
        <v>99.999997828571423</v>
      </c>
      <c r="R14" s="3">
        <v>99.999997593984986</v>
      </c>
      <c r="S14" s="4">
        <v>100</v>
      </c>
      <c r="T14" s="4">
        <v>82.053419999999988</v>
      </c>
      <c r="U14" s="4">
        <v>82.332357333333334</v>
      </c>
      <c r="V14" s="5">
        <v>82.530535733333338</v>
      </c>
      <c r="W14" s="4">
        <v>81.851255333333327</v>
      </c>
      <c r="X14" s="4">
        <v>87.388453333333331</v>
      </c>
      <c r="Y14" s="4">
        <v>75.915176507936508</v>
      </c>
    </row>
    <row r="15" spans="1:25" x14ac:dyDescent="0.25">
      <c r="A15" s="4">
        <v>4.2357014900000003</v>
      </c>
      <c r="B15" s="4">
        <v>154.66254699999999</v>
      </c>
      <c r="C15" s="4">
        <v>156.73288199999999</v>
      </c>
      <c r="D15" s="4">
        <v>155.83397400000001</v>
      </c>
      <c r="E15" s="4">
        <v>155.529158</v>
      </c>
      <c r="F15">
        <v>155.134972</v>
      </c>
      <c r="G15" s="4">
        <v>154.13934599999999</v>
      </c>
      <c r="H15" s="4">
        <v>160.107542</v>
      </c>
      <c r="I15" s="4">
        <v>160.15500800000001</v>
      </c>
      <c r="J15" s="4">
        <v>160.155531</v>
      </c>
      <c r="K15" s="4">
        <v>160.10646700000001</v>
      </c>
      <c r="L15">
        <v>160.138848</v>
      </c>
      <c r="M15" s="4">
        <v>160.06849800000001</v>
      </c>
      <c r="N15" s="4">
        <v>99.999998285714284</v>
      </c>
      <c r="O15" s="4">
        <v>99.999999885714288</v>
      </c>
      <c r="P15" s="4">
        <v>100</v>
      </c>
      <c r="Q15" s="4">
        <v>99.99999885714287</v>
      </c>
      <c r="R15" s="3">
        <v>99.999998796992486</v>
      </c>
      <c r="S15" s="4">
        <v>99.999997278911579</v>
      </c>
      <c r="T15" s="4">
        <v>88.939851999999988</v>
      </c>
      <c r="U15" s="4">
        <v>89.094506666666675</v>
      </c>
      <c r="V15" s="5">
        <v>89.241920533333328</v>
      </c>
      <c r="W15" s="4">
        <v>88.788681333333329</v>
      </c>
      <c r="X15" s="4">
        <v>92.673998596491245</v>
      </c>
      <c r="Y15" s="4">
        <v>84.267471746031759</v>
      </c>
    </row>
    <row r="16" spans="1:25" x14ac:dyDescent="0.25">
      <c r="A16" s="4">
        <v>4.5090317300000002</v>
      </c>
      <c r="B16" s="4">
        <v>155.40262200000001</v>
      </c>
      <c r="C16" s="4">
        <v>157.129998</v>
      </c>
      <c r="D16" s="4">
        <v>156.40644700000001</v>
      </c>
      <c r="E16" s="4">
        <v>156.10508999999999</v>
      </c>
      <c r="F16">
        <v>155.77289500000001</v>
      </c>
      <c r="G16" s="4">
        <v>155.000224</v>
      </c>
      <c r="H16" s="4">
        <v>160.14709400000001</v>
      </c>
      <c r="I16" s="4">
        <v>160.17432700000001</v>
      </c>
      <c r="J16" s="4">
        <v>160.17468700000001</v>
      </c>
      <c r="K16" s="4">
        <v>160.14635200000001</v>
      </c>
      <c r="L16">
        <v>160.16693100000001</v>
      </c>
      <c r="M16" s="4">
        <v>160.120329</v>
      </c>
      <c r="N16" s="4">
        <v>99.999999428571428</v>
      </c>
      <c r="O16" s="4">
        <v>100</v>
      </c>
      <c r="P16" s="4">
        <v>100</v>
      </c>
      <c r="Q16" s="4">
        <v>99.99999954285714</v>
      </c>
      <c r="R16" s="3">
        <v>100</v>
      </c>
      <c r="S16" s="4">
        <v>99.999998911564631</v>
      </c>
      <c r="T16" s="4">
        <v>93.691382000000004</v>
      </c>
      <c r="U16" s="4">
        <v>93.75218053333333</v>
      </c>
      <c r="V16" s="5">
        <v>93.850099333333333</v>
      </c>
      <c r="W16" s="4">
        <v>93.590728666666649</v>
      </c>
      <c r="X16" s="4">
        <v>96.034128421052642</v>
      </c>
      <c r="Y16" s="4">
        <v>90.518631746031744</v>
      </c>
    </row>
    <row r="17" spans="1:25" x14ac:dyDescent="0.25">
      <c r="A17" s="4">
        <v>4.8</v>
      </c>
      <c r="B17" s="4">
        <v>155.971406</v>
      </c>
      <c r="C17" s="4">
        <v>157.429282</v>
      </c>
      <c r="D17" s="4">
        <v>156.83159800000001</v>
      </c>
      <c r="E17" s="4">
        <v>156.554644</v>
      </c>
      <c r="F17">
        <v>156.267886</v>
      </c>
      <c r="G17" s="4">
        <v>155.65063799999999</v>
      </c>
      <c r="H17" s="4">
        <v>160.17189099999999</v>
      </c>
      <c r="I17" s="4">
        <v>160.18649300000001</v>
      </c>
      <c r="J17" s="4">
        <v>160.18671499999999</v>
      </c>
      <c r="K17" s="4">
        <v>160.171434</v>
      </c>
      <c r="L17">
        <v>160.18335099999999</v>
      </c>
      <c r="M17" s="4">
        <v>160.155372</v>
      </c>
      <c r="N17" s="4">
        <v>100</v>
      </c>
      <c r="O17" s="4">
        <v>100</v>
      </c>
      <c r="P17" s="4">
        <v>100</v>
      </c>
      <c r="Q17" s="4">
        <v>99.999999885714288</v>
      </c>
      <c r="R17" s="3">
        <v>100</v>
      </c>
      <c r="S17" s="4">
        <v>99.999999455782302</v>
      </c>
      <c r="T17" s="4">
        <v>96.637361999999996</v>
      </c>
      <c r="U17" s="4">
        <v>96.652377466666664</v>
      </c>
      <c r="V17" s="5">
        <v>96.711178000000004</v>
      </c>
      <c r="W17" s="4">
        <v>96.577089333333333</v>
      </c>
      <c r="X17" s="4">
        <v>97.976633684210526</v>
      </c>
      <c r="Y17" s="4">
        <v>94.699036825396817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535A-4657-431B-ADD9-97FEA0511755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23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60.186539600000003</v>
      </c>
      <c r="F4">
        <v>154.258658</v>
      </c>
      <c r="G4">
        <v>128.585858</v>
      </c>
      <c r="H4" s="1">
        <v>1.38629203E-3</v>
      </c>
      <c r="I4">
        <v>3.1170565699999999</v>
      </c>
      <c r="J4">
        <v>46.414141600000001</v>
      </c>
      <c r="K4">
        <v>150.01361399999999</v>
      </c>
      <c r="L4">
        <v>52671.867899999997</v>
      </c>
      <c r="M4">
        <v>175</v>
      </c>
      <c r="N4">
        <v>150</v>
      </c>
      <c r="O4">
        <v>49675</v>
      </c>
      <c r="P4">
        <v>50000</v>
      </c>
      <c r="Q4">
        <v>131.70430099999999</v>
      </c>
      <c r="R4">
        <v>52868.295700000002</v>
      </c>
      <c r="S4" s="3">
        <f>100*G4/M4</f>
        <v>73.477633142857144</v>
      </c>
      <c r="T4" s="3">
        <f>100*H4/N4</f>
        <v>9.241946866666667E-4</v>
      </c>
    </row>
    <row r="5" spans="1:20" x14ac:dyDescent="0.25">
      <c r="A5">
        <v>2</v>
      </c>
      <c r="B5" t="s">
        <v>9</v>
      </c>
      <c r="D5">
        <v>2.1290602000000001</v>
      </c>
      <c r="E5">
        <v>60.211882199999998</v>
      </c>
      <c r="F5">
        <v>156.38244800000001</v>
      </c>
      <c r="G5">
        <v>147.06115299999999</v>
      </c>
      <c r="H5" s="1">
        <v>1.6670178000000001E-3</v>
      </c>
      <c r="I5">
        <v>3.5715112000000002</v>
      </c>
      <c r="J5">
        <v>27.9388468</v>
      </c>
      <c r="K5">
        <v>150.01333299999999</v>
      </c>
      <c r="L5">
        <v>52671.413500000002</v>
      </c>
      <c r="M5">
        <v>175</v>
      </c>
      <c r="N5">
        <v>150</v>
      </c>
      <c r="O5">
        <v>49675</v>
      </c>
      <c r="P5">
        <v>50000</v>
      </c>
      <c r="Q5">
        <v>150.634331</v>
      </c>
      <c r="R5">
        <v>52849.365700000002</v>
      </c>
      <c r="S5" s="3">
        <f t="shared" ref="S5:T19" si="0">100*G5/M5</f>
        <v>84.034944571428568</v>
      </c>
      <c r="T5" s="3">
        <f t="shared" si="0"/>
        <v>1.1113452000000002E-3</v>
      </c>
    </row>
    <row r="6" spans="1:20" x14ac:dyDescent="0.25">
      <c r="A6">
        <v>3</v>
      </c>
      <c r="B6" t="s">
        <v>9</v>
      </c>
      <c r="D6">
        <v>2.2664486699999999</v>
      </c>
      <c r="E6">
        <v>60.240434499999999</v>
      </c>
      <c r="F6">
        <v>158.63820999999999</v>
      </c>
      <c r="G6">
        <v>167.812757</v>
      </c>
      <c r="H6" s="1">
        <v>2.0210553900000001E-3</v>
      </c>
      <c r="I6">
        <v>4.0840715999999997</v>
      </c>
      <c r="J6">
        <v>7.1872426999999997</v>
      </c>
      <c r="K6">
        <v>150.012979</v>
      </c>
      <c r="L6">
        <v>52670.900900000001</v>
      </c>
      <c r="M6">
        <v>175</v>
      </c>
      <c r="N6">
        <v>150</v>
      </c>
      <c r="O6">
        <v>49675</v>
      </c>
      <c r="P6">
        <v>50000</v>
      </c>
      <c r="Q6">
        <v>171.89885000000001</v>
      </c>
      <c r="R6">
        <v>52828.101199999997</v>
      </c>
      <c r="S6" s="3">
        <f t="shared" si="0"/>
        <v>95.893004000000005</v>
      </c>
      <c r="T6" s="3">
        <f t="shared" si="0"/>
        <v>1.3473702599999999E-3</v>
      </c>
    </row>
    <row r="7" spans="1:20" x14ac:dyDescent="0.25">
      <c r="A7">
        <v>4</v>
      </c>
      <c r="B7" t="s">
        <v>9</v>
      </c>
      <c r="D7">
        <v>2.31</v>
      </c>
      <c r="E7">
        <v>60.249888900000002</v>
      </c>
      <c r="F7">
        <v>159.35225299999999</v>
      </c>
      <c r="G7">
        <v>174.62993599999999</v>
      </c>
      <c r="H7" s="1">
        <v>2.1475928800000002E-3</v>
      </c>
      <c r="I7">
        <v>4.2529464499999996</v>
      </c>
      <c r="J7" s="1">
        <v>0.370063955</v>
      </c>
      <c r="K7">
        <v>150.01285200000001</v>
      </c>
      <c r="L7">
        <v>52670.732100000001</v>
      </c>
      <c r="M7">
        <v>175</v>
      </c>
      <c r="N7">
        <v>150</v>
      </c>
      <c r="O7">
        <v>49675</v>
      </c>
      <c r="P7">
        <v>50000</v>
      </c>
      <c r="Q7">
        <v>178.88503</v>
      </c>
      <c r="R7">
        <v>52821.114999999998</v>
      </c>
      <c r="S7" s="3">
        <f t="shared" si="0"/>
        <v>99.788534857142849</v>
      </c>
      <c r="T7" s="3">
        <f t="shared" si="0"/>
        <v>1.4317285866666668E-3</v>
      </c>
    </row>
    <row r="8" spans="1:20" x14ac:dyDescent="0.25">
      <c r="A8">
        <v>5</v>
      </c>
      <c r="B8" t="s">
        <v>9</v>
      </c>
      <c r="D8">
        <v>2.4127028300000002</v>
      </c>
      <c r="E8">
        <v>61.737288800000002</v>
      </c>
      <c r="F8">
        <v>159.42114100000001</v>
      </c>
      <c r="G8">
        <v>174.99998299999999</v>
      </c>
      <c r="H8" s="1">
        <v>5.6590449200000004</v>
      </c>
      <c r="I8">
        <v>9.6516116899999993</v>
      </c>
      <c r="J8" s="1">
        <v>1.59593881E-17</v>
      </c>
      <c r="K8">
        <v>144.35595699999999</v>
      </c>
      <c r="L8">
        <v>52665.333400000003</v>
      </c>
      <c r="M8">
        <v>175</v>
      </c>
      <c r="N8">
        <v>150</v>
      </c>
      <c r="O8">
        <v>49675</v>
      </c>
      <c r="P8">
        <v>50000</v>
      </c>
      <c r="Q8">
        <v>190.31063900000001</v>
      </c>
      <c r="R8">
        <v>52809.689400000003</v>
      </c>
      <c r="S8" s="3">
        <f t="shared" si="0"/>
        <v>99.999990285714276</v>
      </c>
      <c r="T8" s="3">
        <f t="shared" si="0"/>
        <v>3.7726966133333333</v>
      </c>
    </row>
    <row r="9" spans="1:20" x14ac:dyDescent="0.25">
      <c r="A9">
        <v>6</v>
      </c>
      <c r="B9" t="s">
        <v>9</v>
      </c>
      <c r="D9">
        <v>2.5683947800000002</v>
      </c>
      <c r="E9">
        <v>64.789468900000003</v>
      </c>
      <c r="F9">
        <v>159.486391</v>
      </c>
      <c r="G9">
        <v>174.999989</v>
      </c>
      <c r="H9">
        <v>17.7448671</v>
      </c>
      <c r="I9">
        <v>14.220132599999999</v>
      </c>
      <c r="J9" s="1">
        <v>2.9187669199999999E-18</v>
      </c>
      <c r="K9">
        <v>132.27013400000001</v>
      </c>
      <c r="L9">
        <v>52660.764900000002</v>
      </c>
      <c r="M9">
        <v>175</v>
      </c>
      <c r="N9">
        <v>150</v>
      </c>
      <c r="O9">
        <v>49675</v>
      </c>
      <c r="P9">
        <v>50000</v>
      </c>
      <c r="Q9">
        <v>206.96498800000001</v>
      </c>
      <c r="R9">
        <v>52793.035000000003</v>
      </c>
      <c r="S9" s="3">
        <f t="shared" si="0"/>
        <v>99.999993714285708</v>
      </c>
      <c r="T9" s="3">
        <f t="shared" si="0"/>
        <v>11.8299114</v>
      </c>
    </row>
    <row r="10" spans="1:20" x14ac:dyDescent="0.25">
      <c r="A10">
        <v>7</v>
      </c>
      <c r="B10" t="s">
        <v>9</v>
      </c>
      <c r="D10">
        <v>2.7341335500000001</v>
      </c>
      <c r="E10">
        <v>73.627252799999994</v>
      </c>
      <c r="F10">
        <v>159.55855099999999</v>
      </c>
      <c r="G10">
        <v>174.999932</v>
      </c>
      <c r="H10">
        <v>31.116619199999999</v>
      </c>
      <c r="I10">
        <v>22.657705100000001</v>
      </c>
      <c r="J10" s="1">
        <v>8.4534447300000002E-19</v>
      </c>
      <c r="K10">
        <v>118.89837300000001</v>
      </c>
      <c r="L10">
        <v>52652.327299999997</v>
      </c>
      <c r="M10">
        <v>175</v>
      </c>
      <c r="N10">
        <v>150</v>
      </c>
      <c r="O10">
        <v>49675</v>
      </c>
      <c r="P10">
        <v>50000</v>
      </c>
      <c r="Q10">
        <v>228.77425600000001</v>
      </c>
      <c r="R10">
        <v>52771.225700000003</v>
      </c>
      <c r="S10" s="3">
        <f t="shared" si="0"/>
        <v>99.999961142857146</v>
      </c>
      <c r="T10" s="3">
        <f t="shared" si="0"/>
        <v>20.744412799999999</v>
      </c>
    </row>
    <row r="11" spans="1:20" x14ac:dyDescent="0.25">
      <c r="A11">
        <v>8</v>
      </c>
      <c r="B11" t="s">
        <v>9</v>
      </c>
      <c r="D11">
        <v>2.9105674700000002</v>
      </c>
      <c r="E11">
        <v>95.240318500000001</v>
      </c>
      <c r="F11">
        <v>159.63528600000001</v>
      </c>
      <c r="G11">
        <v>174.999965</v>
      </c>
      <c r="H11">
        <v>45.365215800000001</v>
      </c>
      <c r="I11">
        <v>48.103671300000002</v>
      </c>
      <c r="J11" s="1">
        <v>2.6378252300000002E-19</v>
      </c>
      <c r="K11">
        <v>104.649781</v>
      </c>
      <c r="L11">
        <v>52626.881399999998</v>
      </c>
      <c r="M11">
        <v>175</v>
      </c>
      <c r="N11">
        <v>150</v>
      </c>
      <c r="O11">
        <v>49675</v>
      </c>
      <c r="P11">
        <v>50000</v>
      </c>
      <c r="Q11">
        <v>268.46885200000003</v>
      </c>
      <c r="R11">
        <v>52731.5311</v>
      </c>
      <c r="S11" s="3">
        <f t="shared" si="0"/>
        <v>99.999980000000008</v>
      </c>
      <c r="T11" s="3">
        <f t="shared" si="0"/>
        <v>30.243477200000005</v>
      </c>
    </row>
    <row r="12" spans="1:20" x14ac:dyDescent="0.25">
      <c r="A12">
        <v>9</v>
      </c>
      <c r="B12" t="s">
        <v>9</v>
      </c>
      <c r="D12">
        <v>3.0983866799999999</v>
      </c>
      <c r="E12">
        <v>126.917852</v>
      </c>
      <c r="F12">
        <v>159.71731399999999</v>
      </c>
      <c r="G12">
        <v>175.000001</v>
      </c>
      <c r="H12">
        <v>60.722702099999999</v>
      </c>
      <c r="I12">
        <v>157.690415</v>
      </c>
      <c r="J12" s="1">
        <v>9.1081160900000005E-29</v>
      </c>
      <c r="K12">
        <v>89.2922978</v>
      </c>
      <c r="L12">
        <v>52517.294600000001</v>
      </c>
      <c r="M12">
        <v>175</v>
      </c>
      <c r="N12">
        <v>150</v>
      </c>
      <c r="O12">
        <v>49675</v>
      </c>
      <c r="P12">
        <v>50000</v>
      </c>
      <c r="Q12">
        <v>393.413118</v>
      </c>
      <c r="R12">
        <v>52606.586900000002</v>
      </c>
      <c r="S12" s="3">
        <f t="shared" si="0"/>
        <v>100.00000057142857</v>
      </c>
      <c r="T12" s="3">
        <f t="shared" si="0"/>
        <v>40.481801399999995</v>
      </c>
    </row>
    <row r="13" spans="1:20" x14ac:dyDescent="0.25">
      <c r="A13">
        <v>10</v>
      </c>
      <c r="B13" t="s">
        <v>9</v>
      </c>
      <c r="D13">
        <v>3.2983258800000002</v>
      </c>
      <c r="E13">
        <v>143.81810400000001</v>
      </c>
      <c r="F13">
        <v>159.805374</v>
      </c>
      <c r="G13">
        <v>175.00000299999999</v>
      </c>
      <c r="H13">
        <v>77.366647299999997</v>
      </c>
      <c r="I13">
        <v>437.80830500000002</v>
      </c>
      <c r="J13" s="1">
        <v>5.2607630499999997E-20</v>
      </c>
      <c r="K13">
        <v>72.648352200000005</v>
      </c>
      <c r="L13">
        <v>52237.176700000004</v>
      </c>
      <c r="M13">
        <v>175</v>
      </c>
      <c r="N13">
        <v>150</v>
      </c>
      <c r="O13">
        <v>49675</v>
      </c>
      <c r="P13">
        <v>50000</v>
      </c>
      <c r="Q13">
        <v>690.17495599999995</v>
      </c>
      <c r="R13">
        <v>52309.824999999997</v>
      </c>
      <c r="S13" s="3">
        <f t="shared" si="0"/>
        <v>100.00000171428572</v>
      </c>
      <c r="T13" s="3">
        <f t="shared" si="0"/>
        <v>51.577764866666662</v>
      </c>
    </row>
    <row r="14" spans="1:20" x14ac:dyDescent="0.25">
      <c r="A14">
        <v>11</v>
      </c>
      <c r="B14" t="s">
        <v>9</v>
      </c>
      <c r="D14">
        <v>3.5111671800000002</v>
      </c>
      <c r="E14">
        <v>149.54617500000001</v>
      </c>
      <c r="F14">
        <v>159.894339</v>
      </c>
      <c r="G14">
        <v>175</v>
      </c>
      <c r="H14">
        <v>94.0938771</v>
      </c>
      <c r="I14">
        <v>801.48900800000001</v>
      </c>
      <c r="J14" s="1">
        <v>4.3284691099999999E-20</v>
      </c>
      <c r="K14">
        <v>55.9211229</v>
      </c>
      <c r="L14">
        <v>51873.495999999999</v>
      </c>
      <c r="M14">
        <v>175</v>
      </c>
      <c r="N14">
        <v>150</v>
      </c>
      <c r="O14">
        <v>49675</v>
      </c>
      <c r="P14">
        <v>50000</v>
      </c>
      <c r="Q14">
        <v>1070.5828899999999</v>
      </c>
      <c r="R14">
        <v>51929.417099999999</v>
      </c>
      <c r="S14" s="3">
        <f t="shared" si="0"/>
        <v>100</v>
      </c>
      <c r="T14" s="3">
        <f t="shared" si="0"/>
        <v>62.729251400000003</v>
      </c>
    </row>
    <row r="15" spans="1:20" x14ac:dyDescent="0.25">
      <c r="A15">
        <v>12</v>
      </c>
      <c r="B15" t="s">
        <v>9</v>
      </c>
      <c r="D15">
        <v>3.73774315</v>
      </c>
      <c r="E15">
        <v>152.14986500000001</v>
      </c>
      <c r="F15">
        <v>159.97819799999999</v>
      </c>
      <c r="G15">
        <v>175</v>
      </c>
      <c r="H15">
        <v>109.703435</v>
      </c>
      <c r="I15">
        <v>1207.1650299999999</v>
      </c>
      <c r="J15" s="1">
        <v>2.9002561500000001E-21</v>
      </c>
      <c r="K15">
        <v>40.311565399999999</v>
      </c>
      <c r="L15">
        <v>51467.82</v>
      </c>
      <c r="M15">
        <v>175</v>
      </c>
      <c r="N15">
        <v>150</v>
      </c>
      <c r="O15">
        <v>49675</v>
      </c>
      <c r="P15">
        <v>50000</v>
      </c>
      <c r="Q15">
        <v>1491.8684699999999</v>
      </c>
      <c r="R15">
        <v>51508.131500000003</v>
      </c>
      <c r="S15" s="3">
        <f t="shared" si="0"/>
        <v>100</v>
      </c>
      <c r="T15" s="3">
        <f t="shared" si="0"/>
        <v>73.135623333333328</v>
      </c>
    </row>
    <row r="16" spans="1:20" x14ac:dyDescent="0.25">
      <c r="A16">
        <v>13</v>
      </c>
      <c r="B16" t="s">
        <v>9</v>
      </c>
      <c r="D16">
        <v>3.97894009</v>
      </c>
      <c r="E16">
        <v>153.653525</v>
      </c>
      <c r="F16">
        <v>160.050838</v>
      </c>
      <c r="G16">
        <v>175</v>
      </c>
      <c r="H16">
        <v>123.08013</v>
      </c>
      <c r="I16">
        <v>1648.8362500000001</v>
      </c>
      <c r="J16" s="1">
        <v>7.2914092199999996E-22</v>
      </c>
      <c r="K16">
        <v>26.9348697</v>
      </c>
      <c r="L16">
        <v>51026.148800000003</v>
      </c>
      <c r="M16">
        <v>175</v>
      </c>
      <c r="N16">
        <v>150</v>
      </c>
      <c r="O16">
        <v>49675</v>
      </c>
      <c r="P16">
        <v>50000</v>
      </c>
      <c r="Q16">
        <v>1946.9163799999999</v>
      </c>
      <c r="R16">
        <v>51053.083599999998</v>
      </c>
      <c r="S16" s="3">
        <f t="shared" si="0"/>
        <v>100</v>
      </c>
      <c r="T16" s="3">
        <f t="shared" si="0"/>
        <v>82.053419999999988</v>
      </c>
    </row>
    <row r="17" spans="1:20" x14ac:dyDescent="0.25">
      <c r="A17">
        <v>14</v>
      </c>
      <c r="B17" t="s">
        <v>9</v>
      </c>
      <c r="D17">
        <v>4.2357014900000003</v>
      </c>
      <c r="E17">
        <v>154.66254699999999</v>
      </c>
      <c r="F17">
        <v>160.107542</v>
      </c>
      <c r="G17">
        <v>174.99999700000001</v>
      </c>
      <c r="H17">
        <v>133.40977799999999</v>
      </c>
      <c r="I17">
        <v>2126.7876799999999</v>
      </c>
      <c r="J17" s="1">
        <v>6.1974526599999997E-24</v>
      </c>
      <c r="K17">
        <v>16.6052213</v>
      </c>
      <c r="L17">
        <v>50548.1973</v>
      </c>
      <c r="M17">
        <v>175</v>
      </c>
      <c r="N17">
        <v>150</v>
      </c>
      <c r="O17">
        <v>49675</v>
      </c>
      <c r="P17">
        <v>50000</v>
      </c>
      <c r="Q17">
        <v>2435.1974599999999</v>
      </c>
      <c r="R17">
        <v>50564.802499999998</v>
      </c>
      <c r="S17" s="3">
        <f t="shared" si="0"/>
        <v>99.999998285714284</v>
      </c>
      <c r="T17" s="3">
        <f t="shared" si="0"/>
        <v>88.939851999999988</v>
      </c>
    </row>
    <row r="18" spans="1:20" x14ac:dyDescent="0.25">
      <c r="A18">
        <v>15</v>
      </c>
      <c r="B18" t="s">
        <v>9</v>
      </c>
      <c r="D18">
        <v>4.5090317300000002</v>
      </c>
      <c r="E18">
        <v>155.40262200000001</v>
      </c>
      <c r="F18">
        <v>160.14709400000001</v>
      </c>
      <c r="G18">
        <v>174.999999</v>
      </c>
      <c r="H18">
        <v>140.53707299999999</v>
      </c>
      <c r="I18">
        <v>2642.26197</v>
      </c>
      <c r="J18" s="1">
        <v>1.62898148E-24</v>
      </c>
      <c r="K18">
        <v>9.4779264199999993</v>
      </c>
      <c r="L18">
        <v>50032.722999999998</v>
      </c>
      <c r="M18">
        <v>175</v>
      </c>
      <c r="N18">
        <v>150</v>
      </c>
      <c r="O18">
        <v>49675</v>
      </c>
      <c r="P18">
        <v>50000</v>
      </c>
      <c r="Q18">
        <v>2957.7990399999999</v>
      </c>
      <c r="R18">
        <v>50042.201000000001</v>
      </c>
      <c r="S18" s="3">
        <f t="shared" si="0"/>
        <v>99.999999428571428</v>
      </c>
      <c r="T18" s="3">
        <f t="shared" si="0"/>
        <v>93.691382000000004</v>
      </c>
    </row>
    <row r="19" spans="1:20" x14ac:dyDescent="0.25">
      <c r="A19">
        <v>16</v>
      </c>
      <c r="B19" t="s">
        <v>9</v>
      </c>
      <c r="D19">
        <v>4.8</v>
      </c>
      <c r="E19">
        <v>155.971406</v>
      </c>
      <c r="F19">
        <v>160.17189099999999</v>
      </c>
      <c r="G19">
        <v>175</v>
      </c>
      <c r="H19">
        <v>144.95604299999999</v>
      </c>
      <c r="I19">
        <v>3196.34708</v>
      </c>
      <c r="J19" s="1">
        <v>1.3769745300000001E-24</v>
      </c>
      <c r="K19">
        <v>5.0589567400000002</v>
      </c>
      <c r="L19">
        <v>49478.637900000002</v>
      </c>
      <c r="M19">
        <v>175</v>
      </c>
      <c r="N19">
        <v>150</v>
      </c>
      <c r="O19">
        <v>49675</v>
      </c>
      <c r="P19">
        <v>50000</v>
      </c>
      <c r="Q19">
        <v>3516.3031299999998</v>
      </c>
      <c r="R19">
        <v>49483.696900000003</v>
      </c>
      <c r="S19" s="3">
        <f t="shared" si="0"/>
        <v>100</v>
      </c>
      <c r="T19" s="3">
        <f t="shared" si="0"/>
        <v>96.637361999999996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AB7-76F2-45CF-B3B4-32BE80A0EB6F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22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60.067017300000003</v>
      </c>
      <c r="F4">
        <v>154.25135499999999</v>
      </c>
      <c r="G4">
        <v>37.510759899999996</v>
      </c>
      <c r="H4" s="1">
        <v>2.9319647700000001E-4</v>
      </c>
      <c r="I4">
        <v>0.901357454</v>
      </c>
      <c r="J4">
        <v>49.989240100000004</v>
      </c>
      <c r="K4">
        <v>75.014706799999999</v>
      </c>
      <c r="L4">
        <v>52836.583599999998</v>
      </c>
      <c r="M4">
        <v>87.5</v>
      </c>
      <c r="N4">
        <v>75</v>
      </c>
      <c r="O4">
        <v>49837.5</v>
      </c>
      <c r="P4">
        <v>50000</v>
      </c>
      <c r="Q4">
        <v>38.412410600000001</v>
      </c>
      <c r="R4">
        <v>52961.587599999999</v>
      </c>
      <c r="S4" s="3">
        <f>100*G4/M4</f>
        <v>42.869439885714286</v>
      </c>
      <c r="T4" s="3">
        <f>100*H4/N4</f>
        <v>3.9092863599999997E-4</v>
      </c>
    </row>
    <row r="5" spans="1:20" x14ac:dyDescent="0.25">
      <c r="A5">
        <v>2</v>
      </c>
      <c r="B5" t="s">
        <v>9</v>
      </c>
      <c r="D5">
        <v>2.1290602000000001</v>
      </c>
      <c r="E5">
        <v>60.0905962</v>
      </c>
      <c r="F5">
        <v>156.37230199999999</v>
      </c>
      <c r="G5">
        <v>55.798482700000001</v>
      </c>
      <c r="H5" s="1">
        <v>4.4453772E-4</v>
      </c>
      <c r="I5">
        <v>1.3431171399999999</v>
      </c>
      <c r="J5">
        <v>31.701517299999999</v>
      </c>
      <c r="K5">
        <v>75.0145555</v>
      </c>
      <c r="L5">
        <v>52836.141900000002</v>
      </c>
      <c r="M5">
        <v>87.5</v>
      </c>
      <c r="N5">
        <v>75</v>
      </c>
      <c r="O5">
        <v>49837.5</v>
      </c>
      <c r="P5">
        <v>50000</v>
      </c>
      <c r="Q5">
        <v>57.142044400000003</v>
      </c>
      <c r="R5">
        <v>52942.858</v>
      </c>
      <c r="S5" s="3">
        <f t="shared" ref="S5:T19" si="0">100*G5/M5</f>
        <v>63.769694514285717</v>
      </c>
      <c r="T5" s="3">
        <f t="shared" si="0"/>
        <v>5.9271696000000003E-4</v>
      </c>
    </row>
    <row r="6" spans="1:20" x14ac:dyDescent="0.25">
      <c r="A6">
        <v>3</v>
      </c>
      <c r="B6" t="s">
        <v>9</v>
      </c>
      <c r="D6">
        <v>2.2664486699999999</v>
      </c>
      <c r="E6">
        <v>60.1171851</v>
      </c>
      <c r="F6">
        <v>158.62530000000001</v>
      </c>
      <c r="G6">
        <v>76.343974799999998</v>
      </c>
      <c r="H6" s="1">
        <v>6.2291896000000004E-4</v>
      </c>
      <c r="I6">
        <v>1.84126247</v>
      </c>
      <c r="J6">
        <v>11.1560252</v>
      </c>
      <c r="K6">
        <v>75.014377100000004</v>
      </c>
      <c r="L6">
        <v>52835.643700000001</v>
      </c>
      <c r="M6">
        <v>87.5</v>
      </c>
      <c r="N6">
        <v>75</v>
      </c>
      <c r="O6">
        <v>49837.5</v>
      </c>
      <c r="P6">
        <v>50000</v>
      </c>
      <c r="Q6">
        <v>78.185860199999993</v>
      </c>
      <c r="R6">
        <v>52921.814100000003</v>
      </c>
      <c r="S6" s="3">
        <f t="shared" si="0"/>
        <v>87.250256914285714</v>
      </c>
      <c r="T6" s="3">
        <f t="shared" si="0"/>
        <v>8.3055861333333346E-4</v>
      </c>
    </row>
    <row r="7" spans="1:20" x14ac:dyDescent="0.25">
      <c r="A7">
        <v>4</v>
      </c>
      <c r="B7" t="s">
        <v>9</v>
      </c>
      <c r="D7">
        <v>2.31</v>
      </c>
      <c r="E7">
        <v>60.126030499999999</v>
      </c>
      <c r="F7">
        <v>159.338448</v>
      </c>
      <c r="G7">
        <v>83.094414799999996</v>
      </c>
      <c r="H7" s="1">
        <v>6.83802044E-4</v>
      </c>
      <c r="I7">
        <v>2.0053487400000001</v>
      </c>
      <c r="J7" s="1">
        <v>4.4055852700000004</v>
      </c>
      <c r="K7">
        <v>75.014316199999996</v>
      </c>
      <c r="L7">
        <v>52835.479700000004</v>
      </c>
      <c r="M7">
        <v>87.5</v>
      </c>
      <c r="N7">
        <v>75</v>
      </c>
      <c r="O7">
        <v>49837.5</v>
      </c>
      <c r="P7">
        <v>50000</v>
      </c>
      <c r="Q7">
        <v>85.100447299999999</v>
      </c>
      <c r="R7">
        <v>52914.899599999997</v>
      </c>
      <c r="S7" s="3">
        <f t="shared" si="0"/>
        <v>94.965045485714285</v>
      </c>
      <c r="T7" s="3">
        <f t="shared" si="0"/>
        <v>9.117360586666667E-4</v>
      </c>
    </row>
    <row r="8" spans="1:20" x14ac:dyDescent="0.25">
      <c r="A8">
        <v>5</v>
      </c>
      <c r="B8" t="s">
        <v>9</v>
      </c>
      <c r="D8">
        <v>2.4127028300000002</v>
      </c>
      <c r="E8">
        <v>60.931513199999998</v>
      </c>
      <c r="F8">
        <v>159.80864800000001</v>
      </c>
      <c r="G8">
        <v>87.499999299999999</v>
      </c>
      <c r="H8" s="1">
        <v>2.1468266900000001</v>
      </c>
      <c r="I8">
        <v>5.0752962799999999</v>
      </c>
      <c r="J8" s="1">
        <v>3.44751137E-19</v>
      </c>
      <c r="K8">
        <v>72.868173400000003</v>
      </c>
      <c r="L8">
        <v>52832.409699999997</v>
      </c>
      <c r="M8">
        <v>87.5</v>
      </c>
      <c r="N8">
        <v>75</v>
      </c>
      <c r="O8">
        <v>49837.5</v>
      </c>
      <c r="P8">
        <v>50000</v>
      </c>
      <c r="Q8">
        <v>94.722122299999995</v>
      </c>
      <c r="R8">
        <v>52905.277900000001</v>
      </c>
      <c r="S8" s="3">
        <f t="shared" si="0"/>
        <v>99.999999200000005</v>
      </c>
      <c r="T8" s="3">
        <f t="shared" si="0"/>
        <v>2.8624355866666669</v>
      </c>
    </row>
    <row r="9" spans="1:20" x14ac:dyDescent="0.25">
      <c r="A9">
        <v>6</v>
      </c>
      <c r="B9" t="s">
        <v>9</v>
      </c>
      <c r="D9">
        <v>2.5683947800000002</v>
      </c>
      <c r="E9">
        <v>62.615970300000001</v>
      </c>
      <c r="F9">
        <v>159.84183400000001</v>
      </c>
      <c r="G9">
        <v>87.499994299999997</v>
      </c>
      <c r="H9">
        <v>8.3119742900000002</v>
      </c>
      <c r="I9">
        <v>7.1267176399999999</v>
      </c>
      <c r="J9" s="1">
        <v>1.36886338E-18</v>
      </c>
      <c r="K9">
        <v>66.703026699999995</v>
      </c>
      <c r="L9">
        <v>52830.3583</v>
      </c>
      <c r="M9">
        <v>87.5</v>
      </c>
      <c r="N9">
        <v>75</v>
      </c>
      <c r="O9">
        <v>49837.5</v>
      </c>
      <c r="P9">
        <v>50000</v>
      </c>
      <c r="Q9">
        <v>102.938686</v>
      </c>
      <c r="R9">
        <v>52897.061300000001</v>
      </c>
      <c r="S9" s="3">
        <f t="shared" si="0"/>
        <v>99.999993485714285</v>
      </c>
      <c r="T9" s="3">
        <f t="shared" si="0"/>
        <v>11.082632386666667</v>
      </c>
    </row>
    <row r="10" spans="1:20" x14ac:dyDescent="0.25">
      <c r="A10">
        <v>7</v>
      </c>
      <c r="B10" t="s">
        <v>9</v>
      </c>
      <c r="D10">
        <v>2.7341335500000001</v>
      </c>
      <c r="E10">
        <v>68.859802000000002</v>
      </c>
      <c r="F10">
        <v>159.878929</v>
      </c>
      <c r="G10">
        <v>87.5</v>
      </c>
      <c r="H10">
        <v>15.2046443</v>
      </c>
      <c r="I10">
        <v>10.707316499999999</v>
      </c>
      <c r="J10" s="1">
        <v>3.9794665300000002E-19</v>
      </c>
      <c r="K10">
        <v>59.810355700000002</v>
      </c>
      <c r="L10">
        <v>52826.777699999999</v>
      </c>
      <c r="M10">
        <v>87.5</v>
      </c>
      <c r="N10">
        <v>75</v>
      </c>
      <c r="O10">
        <v>49837.5</v>
      </c>
      <c r="P10">
        <v>50000</v>
      </c>
      <c r="Q10">
        <v>113.41196100000001</v>
      </c>
      <c r="R10">
        <v>52886.588000000003</v>
      </c>
      <c r="S10" s="3">
        <f t="shared" si="0"/>
        <v>100</v>
      </c>
      <c r="T10" s="3">
        <f t="shared" si="0"/>
        <v>20.272859066666665</v>
      </c>
    </row>
    <row r="11" spans="1:20" x14ac:dyDescent="0.25">
      <c r="A11">
        <v>8</v>
      </c>
      <c r="B11" t="s">
        <v>9</v>
      </c>
      <c r="D11">
        <v>2.9105674700000002</v>
      </c>
      <c r="E11">
        <v>90.072748700000005</v>
      </c>
      <c r="F11">
        <v>159.91819799999999</v>
      </c>
      <c r="G11">
        <v>87.500015000000005</v>
      </c>
      <c r="H11">
        <v>22.5080855</v>
      </c>
      <c r="I11">
        <v>22.1331132</v>
      </c>
      <c r="J11" s="1">
        <v>1.01066078E-19</v>
      </c>
      <c r="K11">
        <v>52.506907900000002</v>
      </c>
      <c r="L11">
        <v>52815.351900000001</v>
      </c>
      <c r="M11">
        <v>87.5</v>
      </c>
      <c r="N11">
        <v>75</v>
      </c>
      <c r="O11">
        <v>49837.5</v>
      </c>
      <c r="P11">
        <v>50000</v>
      </c>
      <c r="Q11">
        <v>132.14121399999999</v>
      </c>
      <c r="R11">
        <v>52867.858800000002</v>
      </c>
      <c r="S11" s="3">
        <f t="shared" si="0"/>
        <v>100.00001714285715</v>
      </c>
      <c r="T11" s="3">
        <f t="shared" si="0"/>
        <v>30.010780666666669</v>
      </c>
    </row>
    <row r="12" spans="1:20" x14ac:dyDescent="0.25">
      <c r="A12">
        <v>9</v>
      </c>
      <c r="B12" t="s">
        <v>9</v>
      </c>
      <c r="D12">
        <v>3.0983866799999999</v>
      </c>
      <c r="E12">
        <v>130.096507</v>
      </c>
      <c r="F12">
        <v>159.959711</v>
      </c>
      <c r="G12">
        <v>87.500000200000002</v>
      </c>
      <c r="H12">
        <v>30.277098899999999</v>
      </c>
      <c r="I12">
        <v>94.736685699999995</v>
      </c>
      <c r="J12" s="1">
        <v>5.6608040500000004E-20</v>
      </c>
      <c r="K12">
        <v>44.737901100000002</v>
      </c>
      <c r="L12">
        <v>52742.748299999999</v>
      </c>
      <c r="M12">
        <v>87.5</v>
      </c>
      <c r="N12">
        <v>75</v>
      </c>
      <c r="O12">
        <v>49837.5</v>
      </c>
      <c r="P12">
        <v>50000</v>
      </c>
      <c r="Q12">
        <v>212.51378500000001</v>
      </c>
      <c r="R12">
        <v>52787.486199999999</v>
      </c>
      <c r="S12" s="3">
        <f t="shared" si="0"/>
        <v>100.00000022857142</v>
      </c>
      <c r="T12" s="3">
        <f t="shared" si="0"/>
        <v>40.3694652</v>
      </c>
    </row>
    <row r="13" spans="1:20" x14ac:dyDescent="0.25">
      <c r="A13">
        <v>10</v>
      </c>
      <c r="B13" t="s">
        <v>9</v>
      </c>
      <c r="D13">
        <v>3.2983258800000002</v>
      </c>
      <c r="E13">
        <v>149.50998000000001</v>
      </c>
      <c r="F13">
        <v>160.00458399999999</v>
      </c>
      <c r="G13">
        <v>87.500000299999996</v>
      </c>
      <c r="H13">
        <v>38.798092400000002</v>
      </c>
      <c r="I13">
        <v>385.67428100000001</v>
      </c>
      <c r="J13" s="1">
        <v>8.7892569899999999E-26</v>
      </c>
      <c r="K13">
        <v>36.216907599999999</v>
      </c>
      <c r="L13">
        <v>52451.810700000002</v>
      </c>
      <c r="M13">
        <v>87.5</v>
      </c>
      <c r="N13">
        <v>75</v>
      </c>
      <c r="O13">
        <v>49837.5</v>
      </c>
      <c r="P13">
        <v>50000</v>
      </c>
      <c r="Q13">
        <v>511.972374</v>
      </c>
      <c r="R13">
        <v>52488.027600000001</v>
      </c>
      <c r="S13" s="3">
        <f t="shared" si="0"/>
        <v>100.00000034285713</v>
      </c>
      <c r="T13" s="3">
        <f t="shared" si="0"/>
        <v>51.730789866666669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153.69661099999999</v>
      </c>
      <c r="F14">
        <v>160.04959199999999</v>
      </c>
      <c r="G14">
        <v>87.499996600000003</v>
      </c>
      <c r="H14">
        <v>47.302128500000002</v>
      </c>
      <c r="I14">
        <v>769.86862199999996</v>
      </c>
      <c r="J14" s="1">
        <v>7.9305537899999999E-17</v>
      </c>
      <c r="K14">
        <v>27.7128719</v>
      </c>
      <c r="L14">
        <v>52067.616399999999</v>
      </c>
      <c r="M14">
        <v>87.5</v>
      </c>
      <c r="N14">
        <v>75</v>
      </c>
      <c r="O14">
        <v>49837.5</v>
      </c>
      <c r="P14">
        <v>50000</v>
      </c>
      <c r="Q14">
        <v>904.67074700000001</v>
      </c>
      <c r="R14">
        <v>52095.329299999998</v>
      </c>
      <c r="S14" s="3">
        <f t="shared" si="0"/>
        <v>99.999996114285707</v>
      </c>
      <c r="T14" s="3">
        <f t="shared" si="0"/>
        <v>63.069504666666667</v>
      </c>
    </row>
    <row r="15" spans="1:20" x14ac:dyDescent="0.25">
      <c r="A15">
        <v>12</v>
      </c>
      <c r="B15" t="s">
        <v>9</v>
      </c>
      <c r="D15">
        <v>3.73774315</v>
      </c>
      <c r="E15">
        <v>155.30931699999999</v>
      </c>
      <c r="F15">
        <v>160.091454</v>
      </c>
      <c r="G15">
        <v>87.499998599999998</v>
      </c>
      <c r="H15">
        <v>55.127866900000001</v>
      </c>
      <c r="I15">
        <v>1191.54034</v>
      </c>
      <c r="J15" s="1">
        <v>1.18685552E-20</v>
      </c>
      <c r="K15">
        <v>19.887133299999999</v>
      </c>
      <c r="L15">
        <v>51645.9447</v>
      </c>
      <c r="M15">
        <v>87.5</v>
      </c>
      <c r="N15">
        <v>75</v>
      </c>
      <c r="O15">
        <v>49837.5</v>
      </c>
      <c r="P15">
        <v>50000</v>
      </c>
      <c r="Q15">
        <v>1334.1682000000001</v>
      </c>
      <c r="R15">
        <v>51665.8318</v>
      </c>
      <c r="S15" s="3">
        <f t="shared" si="0"/>
        <v>99.999998399999996</v>
      </c>
      <c r="T15" s="3">
        <f t="shared" si="0"/>
        <v>73.503822533333334</v>
      </c>
    </row>
    <row r="16" spans="1:20" x14ac:dyDescent="0.25">
      <c r="A16">
        <v>13</v>
      </c>
      <c r="B16" t="s">
        <v>9</v>
      </c>
      <c r="D16">
        <v>3.97894009</v>
      </c>
      <c r="E16">
        <v>156.17568800000001</v>
      </c>
      <c r="F16">
        <v>160.12727000000001</v>
      </c>
      <c r="G16">
        <v>87.499999700000004</v>
      </c>
      <c r="H16">
        <v>61.749268000000001</v>
      </c>
      <c r="I16">
        <v>1646.03881</v>
      </c>
      <c r="J16" s="1">
        <v>3.3722448800000002E-22</v>
      </c>
      <c r="K16">
        <v>13.265732</v>
      </c>
      <c r="L16">
        <v>51191.446199999998</v>
      </c>
      <c r="M16">
        <v>87.5</v>
      </c>
      <c r="N16">
        <v>75</v>
      </c>
      <c r="O16">
        <v>49837.5</v>
      </c>
      <c r="P16">
        <v>50000</v>
      </c>
      <c r="Q16">
        <v>1795.28808</v>
      </c>
      <c r="R16">
        <v>51204.711900000002</v>
      </c>
      <c r="S16" s="3">
        <f t="shared" si="0"/>
        <v>99.999999657142865</v>
      </c>
      <c r="T16" s="3">
        <f t="shared" si="0"/>
        <v>82.332357333333334</v>
      </c>
    </row>
    <row r="17" spans="1:20" x14ac:dyDescent="0.25">
      <c r="A17">
        <v>14</v>
      </c>
      <c r="B17" t="s">
        <v>9</v>
      </c>
      <c r="D17">
        <v>4.2357014900000003</v>
      </c>
      <c r="E17">
        <v>156.73288199999999</v>
      </c>
      <c r="F17">
        <v>160.15500800000001</v>
      </c>
      <c r="G17">
        <v>87.499999900000006</v>
      </c>
      <c r="H17">
        <v>66.820880000000002</v>
      </c>
      <c r="I17">
        <v>2133.9862600000001</v>
      </c>
      <c r="J17" s="1">
        <v>1.02454301E-21</v>
      </c>
      <c r="K17">
        <v>8.1941199200000003</v>
      </c>
      <c r="L17">
        <v>50703.498699999996</v>
      </c>
      <c r="M17">
        <v>87.5</v>
      </c>
      <c r="N17">
        <v>75</v>
      </c>
      <c r="O17">
        <v>49837.5</v>
      </c>
      <c r="P17">
        <v>50000</v>
      </c>
      <c r="Q17">
        <v>2288.3071399999999</v>
      </c>
      <c r="R17">
        <v>50711.692900000002</v>
      </c>
      <c r="S17" s="3">
        <f t="shared" si="0"/>
        <v>99.999999885714288</v>
      </c>
      <c r="T17" s="3">
        <f t="shared" si="0"/>
        <v>89.094506666666675</v>
      </c>
    </row>
    <row r="18" spans="1:20" x14ac:dyDescent="0.25">
      <c r="A18">
        <v>15</v>
      </c>
      <c r="B18" t="s">
        <v>9</v>
      </c>
      <c r="D18">
        <v>4.5090317300000002</v>
      </c>
      <c r="E18">
        <v>157.129998</v>
      </c>
      <c r="F18">
        <v>160.17432700000001</v>
      </c>
      <c r="G18">
        <v>87.5</v>
      </c>
      <c r="H18">
        <v>70.314135399999998</v>
      </c>
      <c r="I18">
        <v>2656.8187200000002</v>
      </c>
      <c r="J18" s="1">
        <v>1.0161277899999999E-27</v>
      </c>
      <c r="K18">
        <v>4.7008645700000002</v>
      </c>
      <c r="L18">
        <v>50180.666299999997</v>
      </c>
      <c r="M18">
        <v>87.5</v>
      </c>
      <c r="N18">
        <v>75</v>
      </c>
      <c r="O18">
        <v>49837.5</v>
      </c>
      <c r="P18">
        <v>50000</v>
      </c>
      <c r="Q18">
        <v>2814.6328600000002</v>
      </c>
      <c r="R18">
        <v>50185.367100000003</v>
      </c>
      <c r="S18" s="3">
        <f t="shared" si="0"/>
        <v>100</v>
      </c>
      <c r="T18" s="3">
        <f t="shared" si="0"/>
        <v>93.75218053333333</v>
      </c>
    </row>
    <row r="19" spans="1:20" x14ac:dyDescent="0.25">
      <c r="A19">
        <v>16</v>
      </c>
      <c r="B19" t="s">
        <v>9</v>
      </c>
      <c r="D19">
        <v>4.8</v>
      </c>
      <c r="E19">
        <v>157.429282</v>
      </c>
      <c r="F19">
        <v>160.18649300000001</v>
      </c>
      <c r="G19">
        <v>87.5</v>
      </c>
      <c r="H19">
        <v>72.489283099999994</v>
      </c>
      <c r="I19">
        <v>3216.05854</v>
      </c>
      <c r="J19" s="1">
        <v>8.8214997200000005E-26</v>
      </c>
      <c r="K19">
        <v>2.5257169099999999</v>
      </c>
      <c r="L19">
        <v>49621.426500000001</v>
      </c>
      <c r="M19">
        <v>87.5</v>
      </c>
      <c r="N19">
        <v>75</v>
      </c>
      <c r="O19">
        <v>49837.5</v>
      </c>
      <c r="P19">
        <v>50000</v>
      </c>
      <c r="Q19">
        <v>3376.0478199999998</v>
      </c>
      <c r="R19">
        <v>49623.9522</v>
      </c>
      <c r="S19" s="3">
        <f t="shared" si="0"/>
        <v>100</v>
      </c>
      <c r="T19" s="3">
        <f t="shared" si="0"/>
        <v>96.652377466666664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7820-5D73-4F29-9AD2-912624F3E39A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24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60.181951400000003</v>
      </c>
      <c r="F4">
        <v>154.270611</v>
      </c>
      <c r="G4">
        <v>125.26243700000001</v>
      </c>
      <c r="H4" s="1">
        <v>1.09253526E-3</v>
      </c>
      <c r="I4">
        <v>3.0354533799999999</v>
      </c>
      <c r="J4">
        <v>49.737563399999999</v>
      </c>
      <c r="K4">
        <v>75.013907500000002</v>
      </c>
      <c r="L4">
        <v>52746.949500000002</v>
      </c>
      <c r="M4">
        <v>175</v>
      </c>
      <c r="N4">
        <v>75</v>
      </c>
      <c r="O4">
        <v>49750</v>
      </c>
      <c r="P4">
        <v>50000</v>
      </c>
      <c r="Q4">
        <v>128.29898299999999</v>
      </c>
      <c r="R4">
        <v>52871.701000000001</v>
      </c>
      <c r="S4" s="3">
        <f>100*G4/M4</f>
        <v>71.578535428571428</v>
      </c>
      <c r="T4" s="3">
        <f>100*H4/N4</f>
        <v>1.45671368E-3</v>
      </c>
    </row>
    <row r="5" spans="1:20" x14ac:dyDescent="0.25">
      <c r="A5">
        <v>2</v>
      </c>
      <c r="B5" t="s">
        <v>9</v>
      </c>
      <c r="D5">
        <v>2.1290602000000001</v>
      </c>
      <c r="E5">
        <v>60.2069963</v>
      </c>
      <c r="F5">
        <v>156.39507499999999</v>
      </c>
      <c r="G5">
        <v>143.559721</v>
      </c>
      <c r="H5" s="1">
        <v>1.2902807900000001E-3</v>
      </c>
      <c r="I5">
        <v>3.48519844</v>
      </c>
      <c r="J5">
        <v>31.4402787</v>
      </c>
      <c r="K5">
        <v>75.013709700000007</v>
      </c>
      <c r="L5">
        <v>52746.499799999998</v>
      </c>
      <c r="M5">
        <v>175</v>
      </c>
      <c r="N5">
        <v>75</v>
      </c>
      <c r="O5">
        <v>49750</v>
      </c>
      <c r="P5">
        <v>50000</v>
      </c>
      <c r="Q5">
        <v>147.04621</v>
      </c>
      <c r="R5">
        <v>52852.953800000003</v>
      </c>
      <c r="S5" s="3">
        <f t="shared" ref="S5:T19" si="0">100*G5/M5</f>
        <v>82.034126285714279</v>
      </c>
      <c r="T5" s="3">
        <f t="shared" si="0"/>
        <v>1.720374386666667E-3</v>
      </c>
    </row>
    <row r="6" spans="1:20" x14ac:dyDescent="0.25">
      <c r="A6">
        <v>3</v>
      </c>
      <c r="B6" t="s">
        <v>9</v>
      </c>
      <c r="D6">
        <v>2.2664486699999999</v>
      </c>
      <c r="E6">
        <v>60.235268099999999</v>
      </c>
      <c r="F6">
        <v>158.651782</v>
      </c>
      <c r="G6">
        <v>164.117366</v>
      </c>
      <c r="H6" s="1">
        <v>1.53064053E-3</v>
      </c>
      <c r="I6">
        <v>3.9925534300000001</v>
      </c>
      <c r="J6">
        <v>10.882634299999999</v>
      </c>
      <c r="K6">
        <v>75.013469400000005</v>
      </c>
      <c r="L6">
        <v>52745.992400000003</v>
      </c>
      <c r="M6">
        <v>175</v>
      </c>
      <c r="N6">
        <v>75</v>
      </c>
      <c r="O6">
        <v>49750</v>
      </c>
      <c r="P6">
        <v>50000</v>
      </c>
      <c r="Q6">
        <v>168.11144999999999</v>
      </c>
      <c r="R6">
        <v>52831.888599999998</v>
      </c>
      <c r="S6" s="3">
        <f t="shared" si="0"/>
        <v>93.781351999999998</v>
      </c>
      <c r="T6" s="3">
        <f t="shared" si="0"/>
        <v>2.0408540400000002E-3</v>
      </c>
    </row>
    <row r="7" spans="1:20" x14ac:dyDescent="0.25">
      <c r="A7">
        <v>4</v>
      </c>
      <c r="B7" t="s">
        <v>9</v>
      </c>
      <c r="D7">
        <v>2.31</v>
      </c>
      <c r="E7">
        <v>60.246414000000001</v>
      </c>
      <c r="F7">
        <v>159.36609300000001</v>
      </c>
      <c r="G7">
        <v>170.872052</v>
      </c>
      <c r="H7" s="1">
        <v>1.6144331300000001E-3</v>
      </c>
      <c r="I7">
        <v>4.1599222899999999</v>
      </c>
      <c r="J7" s="1">
        <v>4.1279479600000002</v>
      </c>
      <c r="K7">
        <v>75.013385600000007</v>
      </c>
      <c r="L7">
        <v>52745.825100000002</v>
      </c>
      <c r="M7">
        <v>175</v>
      </c>
      <c r="N7">
        <v>75</v>
      </c>
      <c r="O7">
        <v>49750</v>
      </c>
      <c r="P7">
        <v>50000</v>
      </c>
      <c r="Q7">
        <v>175.03358900000001</v>
      </c>
      <c r="R7">
        <v>52824.966399999998</v>
      </c>
      <c r="S7" s="3">
        <f t="shared" si="0"/>
        <v>97.641172571428569</v>
      </c>
      <c r="T7" s="3">
        <f t="shared" si="0"/>
        <v>2.1525775066666667E-3</v>
      </c>
    </row>
    <row r="8" spans="1:20" x14ac:dyDescent="0.25">
      <c r="A8">
        <v>5</v>
      </c>
      <c r="B8" t="s">
        <v>9</v>
      </c>
      <c r="D8">
        <v>2.4127028300000002</v>
      </c>
      <c r="E8">
        <v>61.404553200000002</v>
      </c>
      <c r="F8">
        <v>159.807909</v>
      </c>
      <c r="G8">
        <v>174.999999</v>
      </c>
      <c r="H8" s="1">
        <v>2.13579812</v>
      </c>
      <c r="I8">
        <v>8.9395475999999992</v>
      </c>
      <c r="J8" s="1">
        <v>5.7032203900000003E-15</v>
      </c>
      <c r="K8">
        <v>72.879201899999998</v>
      </c>
      <c r="L8">
        <v>52741.0455</v>
      </c>
      <c r="M8">
        <v>175</v>
      </c>
      <c r="N8">
        <v>75</v>
      </c>
      <c r="O8">
        <v>49750</v>
      </c>
      <c r="P8">
        <v>50000</v>
      </c>
      <c r="Q8">
        <v>186.075345</v>
      </c>
      <c r="R8">
        <v>52813.924700000003</v>
      </c>
      <c r="S8" s="3">
        <f t="shared" si="0"/>
        <v>99.999999428571428</v>
      </c>
      <c r="T8" s="3">
        <f t="shared" si="0"/>
        <v>2.8477308266666665</v>
      </c>
    </row>
    <row r="9" spans="1:20" x14ac:dyDescent="0.25">
      <c r="A9">
        <v>6</v>
      </c>
      <c r="B9" t="s">
        <v>9</v>
      </c>
      <c r="D9">
        <v>2.5683947800000002</v>
      </c>
      <c r="E9">
        <v>63.463675000000002</v>
      </c>
      <c r="F9">
        <v>159.84133499999999</v>
      </c>
      <c r="G9">
        <v>175.000001</v>
      </c>
      <c r="H9">
        <v>8.3375274299999997</v>
      </c>
      <c r="I9">
        <v>13.1685821</v>
      </c>
      <c r="J9" s="1">
        <v>2.7643865199999999E-18</v>
      </c>
      <c r="K9">
        <v>66.677472300000005</v>
      </c>
      <c r="L9">
        <v>52736.816400000003</v>
      </c>
      <c r="M9">
        <v>175</v>
      </c>
      <c r="N9">
        <v>75</v>
      </c>
      <c r="O9">
        <v>49750</v>
      </c>
      <c r="P9">
        <v>50000</v>
      </c>
      <c r="Q9">
        <v>196.506111</v>
      </c>
      <c r="R9">
        <v>52803.493900000001</v>
      </c>
      <c r="S9" s="3">
        <f t="shared" si="0"/>
        <v>100.00000057142857</v>
      </c>
      <c r="T9" s="3">
        <f t="shared" si="0"/>
        <v>11.11670324</v>
      </c>
    </row>
    <row r="10" spans="1:20" x14ac:dyDescent="0.25">
      <c r="A10">
        <v>7</v>
      </c>
      <c r="B10" t="s">
        <v>9</v>
      </c>
      <c r="D10">
        <v>2.7341335500000001</v>
      </c>
      <c r="E10">
        <v>68.581614299999998</v>
      </c>
      <c r="F10">
        <v>159.87867600000001</v>
      </c>
      <c r="G10">
        <v>174.999999</v>
      </c>
      <c r="H10">
        <v>15.2664516</v>
      </c>
      <c r="I10">
        <v>19.195858099999999</v>
      </c>
      <c r="J10" s="1">
        <v>7.8812333000000004E-19</v>
      </c>
      <c r="K10">
        <v>59.748548399999997</v>
      </c>
      <c r="L10">
        <v>52730.789100000002</v>
      </c>
      <c r="M10">
        <v>175</v>
      </c>
      <c r="N10">
        <v>75</v>
      </c>
      <c r="O10">
        <v>49750</v>
      </c>
      <c r="P10">
        <v>50000</v>
      </c>
      <c r="Q10">
        <v>209.46230800000001</v>
      </c>
      <c r="R10">
        <v>52790.537700000001</v>
      </c>
      <c r="S10" s="3">
        <f t="shared" si="0"/>
        <v>99.999999428571428</v>
      </c>
      <c r="T10" s="3">
        <f t="shared" si="0"/>
        <v>20.355268800000001</v>
      </c>
    </row>
    <row r="11" spans="1:20" x14ac:dyDescent="0.25">
      <c r="A11">
        <v>8</v>
      </c>
      <c r="B11" t="s">
        <v>9</v>
      </c>
      <c r="D11">
        <v>2.9105674700000002</v>
      </c>
      <c r="E11">
        <v>85.099081100000006</v>
      </c>
      <c r="F11">
        <v>159.91821400000001</v>
      </c>
      <c r="G11">
        <v>174.99999399999999</v>
      </c>
      <c r="H11">
        <v>22.610876999999999</v>
      </c>
      <c r="I11">
        <v>35.0604899</v>
      </c>
      <c r="J11" s="1">
        <v>2.45481958E-19</v>
      </c>
      <c r="K11">
        <v>52.404121099999998</v>
      </c>
      <c r="L11">
        <v>52714.924500000001</v>
      </c>
      <c r="M11">
        <v>175</v>
      </c>
      <c r="N11">
        <v>75</v>
      </c>
      <c r="O11">
        <v>49750</v>
      </c>
      <c r="P11">
        <v>50000</v>
      </c>
      <c r="Q11">
        <v>232.67136099999999</v>
      </c>
      <c r="R11">
        <v>52767.328600000001</v>
      </c>
      <c r="S11" s="3">
        <f t="shared" si="0"/>
        <v>99.999996571428554</v>
      </c>
      <c r="T11" s="3">
        <f t="shared" si="0"/>
        <v>30.147836000000002</v>
      </c>
    </row>
    <row r="12" spans="1:20" x14ac:dyDescent="0.25">
      <c r="A12">
        <v>9</v>
      </c>
      <c r="B12" t="s">
        <v>9</v>
      </c>
      <c r="D12">
        <v>3.0983866799999999</v>
      </c>
      <c r="E12">
        <v>123.98157</v>
      </c>
      <c r="F12">
        <v>159.960115</v>
      </c>
      <c r="G12">
        <v>175.000011</v>
      </c>
      <c r="H12">
        <v>30.448805400000001</v>
      </c>
      <c r="I12">
        <v>121.589975</v>
      </c>
      <c r="J12" s="1">
        <v>6.9713332599999995E-20</v>
      </c>
      <c r="K12">
        <v>44.566193200000001</v>
      </c>
      <c r="L12">
        <v>52628.394999999997</v>
      </c>
      <c r="M12">
        <v>175</v>
      </c>
      <c r="N12">
        <v>75</v>
      </c>
      <c r="O12">
        <v>49750</v>
      </c>
      <c r="P12">
        <v>50000</v>
      </c>
      <c r="Q12">
        <v>327.038792</v>
      </c>
      <c r="R12">
        <v>52672.961199999998</v>
      </c>
      <c r="S12" s="3">
        <f t="shared" si="0"/>
        <v>100.00000628571429</v>
      </c>
      <c r="T12" s="3">
        <f t="shared" si="0"/>
        <v>40.598407200000004</v>
      </c>
    </row>
    <row r="13" spans="1:20" x14ac:dyDescent="0.25">
      <c r="A13">
        <v>10</v>
      </c>
      <c r="B13" t="s">
        <v>9</v>
      </c>
      <c r="D13">
        <v>3.2983258800000002</v>
      </c>
      <c r="E13">
        <v>145.66680099999999</v>
      </c>
      <c r="F13">
        <v>160.00521900000001</v>
      </c>
      <c r="G13">
        <v>175.00000199999999</v>
      </c>
      <c r="H13">
        <v>38.995324699999998</v>
      </c>
      <c r="I13">
        <v>414.64690400000001</v>
      </c>
      <c r="J13" s="1">
        <v>3.9760738799999999E-19</v>
      </c>
      <c r="K13">
        <v>36.019675200000002</v>
      </c>
      <c r="L13">
        <v>52335.338100000001</v>
      </c>
      <c r="M13">
        <v>175</v>
      </c>
      <c r="N13">
        <v>75</v>
      </c>
      <c r="O13">
        <v>49750</v>
      </c>
      <c r="P13">
        <v>50000</v>
      </c>
      <c r="Q13">
        <v>628.64223000000004</v>
      </c>
      <c r="R13">
        <v>52371.357799999998</v>
      </c>
      <c r="S13" s="3">
        <f t="shared" si="0"/>
        <v>100.00000114285713</v>
      </c>
      <c r="T13" s="3">
        <f t="shared" si="0"/>
        <v>51.993766266666661</v>
      </c>
    </row>
    <row r="14" spans="1:20" x14ac:dyDescent="0.25">
      <c r="A14">
        <v>11</v>
      </c>
      <c r="B14" t="s">
        <v>9</v>
      </c>
      <c r="D14">
        <v>3.5111671800000002</v>
      </c>
      <c r="E14">
        <v>151.390896</v>
      </c>
      <c r="F14">
        <v>160.05032499999999</v>
      </c>
      <c r="G14">
        <v>175</v>
      </c>
      <c r="H14">
        <v>47.4963549</v>
      </c>
      <c r="I14">
        <v>795.42066699999998</v>
      </c>
      <c r="J14" s="1">
        <v>3.7285182299999998E-25</v>
      </c>
      <c r="K14">
        <v>27.518645100000001</v>
      </c>
      <c r="L14">
        <v>51954.564299999998</v>
      </c>
      <c r="M14">
        <v>175</v>
      </c>
      <c r="N14">
        <v>75</v>
      </c>
      <c r="O14">
        <v>49750</v>
      </c>
      <c r="P14">
        <v>50000</v>
      </c>
      <c r="Q14">
        <v>1017.91702</v>
      </c>
      <c r="R14">
        <v>51982.082999999999</v>
      </c>
      <c r="S14" s="3">
        <f t="shared" si="0"/>
        <v>100</v>
      </c>
      <c r="T14" s="3">
        <f t="shared" si="0"/>
        <v>63.328473199999998</v>
      </c>
    </row>
    <row r="15" spans="1:20" x14ac:dyDescent="0.25">
      <c r="A15">
        <v>12</v>
      </c>
      <c r="B15" t="s">
        <v>9</v>
      </c>
      <c r="D15">
        <v>3.73774315</v>
      </c>
      <c r="E15">
        <v>153.74027799999999</v>
      </c>
      <c r="F15">
        <v>160.09220300000001</v>
      </c>
      <c r="G15">
        <v>174.99999199999999</v>
      </c>
      <c r="H15">
        <v>55.306280999999998</v>
      </c>
      <c r="I15">
        <v>1214.74586</v>
      </c>
      <c r="J15" s="1">
        <v>4.6050291400000003E-23</v>
      </c>
      <c r="K15">
        <v>19.708719299999998</v>
      </c>
      <c r="L15">
        <v>51535.239099999999</v>
      </c>
      <c r="M15">
        <v>175</v>
      </c>
      <c r="N15">
        <v>75</v>
      </c>
      <c r="O15">
        <v>49750</v>
      </c>
      <c r="P15">
        <v>50000</v>
      </c>
      <c r="Q15">
        <v>1445.05213</v>
      </c>
      <c r="R15">
        <v>51554.947899999999</v>
      </c>
      <c r="S15" s="3">
        <f t="shared" si="0"/>
        <v>99.999995428571424</v>
      </c>
      <c r="T15" s="3">
        <f t="shared" si="0"/>
        <v>73.741708000000003</v>
      </c>
    </row>
    <row r="16" spans="1:20" x14ac:dyDescent="0.25">
      <c r="A16">
        <v>13</v>
      </c>
      <c r="B16" t="s">
        <v>9</v>
      </c>
      <c r="D16">
        <v>3.97894009</v>
      </c>
      <c r="E16">
        <v>155.01842400000001</v>
      </c>
      <c r="F16">
        <v>160.12794</v>
      </c>
      <c r="G16">
        <v>174.99999800000001</v>
      </c>
      <c r="H16">
        <v>61.8979018</v>
      </c>
      <c r="I16">
        <v>1667.5781999999999</v>
      </c>
      <c r="J16" s="1">
        <v>3.8149670899999999E-19</v>
      </c>
      <c r="K16">
        <v>13.117098199999999</v>
      </c>
      <c r="L16">
        <v>51082.406799999997</v>
      </c>
      <c r="M16">
        <v>175</v>
      </c>
      <c r="N16">
        <v>75</v>
      </c>
      <c r="O16">
        <v>49750</v>
      </c>
      <c r="P16">
        <v>50000</v>
      </c>
      <c r="Q16">
        <v>1904.4761000000001</v>
      </c>
      <c r="R16">
        <v>51095.5239</v>
      </c>
      <c r="S16" s="3">
        <f t="shared" si="0"/>
        <v>99.99999885714287</v>
      </c>
      <c r="T16" s="3">
        <f t="shared" si="0"/>
        <v>82.530535733333338</v>
      </c>
    </row>
    <row r="17" spans="1:20" x14ac:dyDescent="0.25">
      <c r="A17">
        <v>14</v>
      </c>
      <c r="B17" t="s">
        <v>9</v>
      </c>
      <c r="D17">
        <v>4.2357014900000003</v>
      </c>
      <c r="E17">
        <v>155.83397400000001</v>
      </c>
      <c r="F17">
        <v>160.155531</v>
      </c>
      <c r="G17">
        <v>175</v>
      </c>
      <c r="H17">
        <v>66.9314404</v>
      </c>
      <c r="I17">
        <v>2154.2744499999999</v>
      </c>
      <c r="J17" s="1">
        <v>5.8456803899999997E-21</v>
      </c>
      <c r="K17">
        <v>8.0835595100000006</v>
      </c>
      <c r="L17">
        <v>50595.710500000001</v>
      </c>
      <c r="M17">
        <v>175</v>
      </c>
      <c r="N17">
        <v>75</v>
      </c>
      <c r="O17">
        <v>49750</v>
      </c>
      <c r="P17">
        <v>50000</v>
      </c>
      <c r="Q17">
        <v>2396.2058900000002</v>
      </c>
      <c r="R17">
        <v>50603.794099999999</v>
      </c>
      <c r="S17" s="3">
        <f t="shared" si="0"/>
        <v>100</v>
      </c>
      <c r="T17" s="3">
        <f t="shared" si="0"/>
        <v>89.241920533333328</v>
      </c>
    </row>
    <row r="18" spans="1:20" x14ac:dyDescent="0.25">
      <c r="A18">
        <v>15</v>
      </c>
      <c r="B18" t="s">
        <v>9</v>
      </c>
      <c r="D18">
        <v>4.5090317300000002</v>
      </c>
      <c r="E18">
        <v>156.40644700000001</v>
      </c>
      <c r="F18">
        <v>160.17468700000001</v>
      </c>
      <c r="G18">
        <v>175</v>
      </c>
      <c r="H18">
        <v>70.387574499999999</v>
      </c>
      <c r="I18">
        <v>2676.12437</v>
      </c>
      <c r="J18" s="1">
        <v>2.8365788900000001E-24</v>
      </c>
      <c r="K18">
        <v>4.62742553</v>
      </c>
      <c r="L18">
        <v>50073.8606</v>
      </c>
      <c r="M18">
        <v>175</v>
      </c>
      <c r="N18">
        <v>75</v>
      </c>
      <c r="O18">
        <v>49750</v>
      </c>
      <c r="P18">
        <v>50000</v>
      </c>
      <c r="Q18">
        <v>2921.5119399999999</v>
      </c>
      <c r="R18">
        <v>50078.488100000002</v>
      </c>
      <c r="S18" s="3">
        <f t="shared" si="0"/>
        <v>100</v>
      </c>
      <c r="T18" s="3">
        <f t="shared" si="0"/>
        <v>93.850099333333333</v>
      </c>
    </row>
    <row r="19" spans="1:20" x14ac:dyDescent="0.25">
      <c r="A19">
        <v>16</v>
      </c>
      <c r="B19" t="s">
        <v>9</v>
      </c>
      <c r="D19">
        <v>4.8</v>
      </c>
      <c r="E19">
        <v>156.83159800000001</v>
      </c>
      <c r="F19">
        <v>160.18671499999999</v>
      </c>
      <c r="G19">
        <v>175</v>
      </c>
      <c r="H19">
        <v>72.533383499999999</v>
      </c>
      <c r="I19">
        <v>3234.5636500000001</v>
      </c>
      <c r="J19" s="1">
        <v>3.0618976999999998E-25</v>
      </c>
      <c r="K19">
        <v>2.4816164500000002</v>
      </c>
      <c r="L19">
        <v>49515.421399999999</v>
      </c>
      <c r="M19">
        <v>175</v>
      </c>
      <c r="N19">
        <v>75</v>
      </c>
      <c r="O19">
        <v>49750</v>
      </c>
      <c r="P19">
        <v>50000</v>
      </c>
      <c r="Q19">
        <v>3482.0970299999999</v>
      </c>
      <c r="R19">
        <v>49517.902999999998</v>
      </c>
      <c r="S19" s="3">
        <f t="shared" si="0"/>
        <v>100</v>
      </c>
      <c r="T19" s="3">
        <f t="shared" si="0"/>
        <v>96.711178000000004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625-1000-4994-8D76-83BC414ED630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25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60.071014300000002</v>
      </c>
      <c r="F4">
        <v>154.23951199999999</v>
      </c>
      <c r="G4">
        <v>40.833266299999998</v>
      </c>
      <c r="H4" s="1">
        <v>3.6398596699999998E-4</v>
      </c>
      <c r="I4">
        <v>0.98149405999999995</v>
      </c>
      <c r="J4">
        <v>46.666733700000002</v>
      </c>
      <c r="K4">
        <v>150.014636</v>
      </c>
      <c r="L4">
        <v>52761.503499999999</v>
      </c>
      <c r="M4">
        <v>87.5</v>
      </c>
      <c r="N4">
        <v>150</v>
      </c>
      <c r="O4">
        <v>49762.5</v>
      </c>
      <c r="P4">
        <v>50000</v>
      </c>
      <c r="Q4">
        <v>41.815124300000001</v>
      </c>
      <c r="R4">
        <v>52958.1849</v>
      </c>
      <c r="S4" s="3">
        <f>100*G4/M4</f>
        <v>46.666590057142855</v>
      </c>
      <c r="T4" s="3">
        <f>100*H4/N4</f>
        <v>2.4265731133333335E-4</v>
      </c>
    </row>
    <row r="5" spans="1:20" x14ac:dyDescent="0.25">
      <c r="A5">
        <v>2</v>
      </c>
      <c r="B5" t="s">
        <v>9</v>
      </c>
      <c r="D5">
        <v>2.1290602000000001</v>
      </c>
      <c r="E5">
        <v>60.095201500000002</v>
      </c>
      <c r="F5">
        <v>156.35967500000001</v>
      </c>
      <c r="G5">
        <v>59.298452699999999</v>
      </c>
      <c r="H5" s="1">
        <v>5.4716801700000004E-4</v>
      </c>
      <c r="I5">
        <v>1.42784394</v>
      </c>
      <c r="J5">
        <v>28.201547300000001</v>
      </c>
      <c r="K5">
        <v>150.014453</v>
      </c>
      <c r="L5">
        <v>52761.057200000003</v>
      </c>
      <c r="M5">
        <v>87.5</v>
      </c>
      <c r="N5">
        <v>150</v>
      </c>
      <c r="O5">
        <v>49762.5</v>
      </c>
      <c r="P5">
        <v>50000</v>
      </c>
      <c r="Q5">
        <v>60.726843799999997</v>
      </c>
      <c r="R5">
        <v>52939.273200000003</v>
      </c>
      <c r="S5" s="3">
        <f t="shared" ref="S5:T19" si="0">100*G5/M5</f>
        <v>67.769660228571425</v>
      </c>
      <c r="T5" s="3">
        <f t="shared" si="0"/>
        <v>3.6477867800000001E-4</v>
      </c>
    </row>
    <row r="6" spans="1:20" x14ac:dyDescent="0.25">
      <c r="A6">
        <v>3</v>
      </c>
      <c r="B6" t="s">
        <v>9</v>
      </c>
      <c r="D6">
        <v>2.2664486699999999</v>
      </c>
      <c r="E6">
        <v>60.122027899999999</v>
      </c>
      <c r="F6">
        <v>158.61183800000001</v>
      </c>
      <c r="G6">
        <v>80.037680100000003</v>
      </c>
      <c r="H6" s="1">
        <v>7.7066600600000001E-4</v>
      </c>
      <c r="I6">
        <v>1.93103987</v>
      </c>
      <c r="J6">
        <v>7.4623198999999998</v>
      </c>
      <c r="K6">
        <v>150.014229</v>
      </c>
      <c r="L6">
        <v>52760.553999999996</v>
      </c>
      <c r="M6">
        <v>87.5</v>
      </c>
      <c r="N6">
        <v>150</v>
      </c>
      <c r="O6">
        <v>49762.5</v>
      </c>
      <c r="P6">
        <v>50000</v>
      </c>
      <c r="Q6">
        <v>81.9694906</v>
      </c>
      <c r="R6">
        <v>52918.030500000001</v>
      </c>
      <c r="S6" s="3">
        <f t="shared" si="0"/>
        <v>91.471634400000013</v>
      </c>
      <c r="T6" s="3">
        <f t="shared" si="0"/>
        <v>5.1377733733333334E-4</v>
      </c>
    </row>
    <row r="7" spans="1:20" x14ac:dyDescent="0.25">
      <c r="A7">
        <v>4</v>
      </c>
      <c r="B7" t="s">
        <v>9</v>
      </c>
      <c r="D7">
        <v>2.31</v>
      </c>
      <c r="E7">
        <v>60.130884100000003</v>
      </c>
      <c r="F7">
        <v>159.324716</v>
      </c>
      <c r="G7">
        <v>86.850494999999995</v>
      </c>
      <c r="H7" s="1">
        <v>8.4882491100000002E-4</v>
      </c>
      <c r="I7">
        <v>2.0967768200000001</v>
      </c>
      <c r="J7" s="1">
        <v>0.64950496899999999</v>
      </c>
      <c r="K7">
        <v>150.014151</v>
      </c>
      <c r="L7">
        <v>52760.388200000001</v>
      </c>
      <c r="M7">
        <v>87.5</v>
      </c>
      <c r="N7">
        <v>150</v>
      </c>
      <c r="O7">
        <v>49762.5</v>
      </c>
      <c r="P7">
        <v>50000</v>
      </c>
      <c r="Q7">
        <v>88.948120700000004</v>
      </c>
      <c r="R7">
        <v>52911.051899999999</v>
      </c>
      <c r="S7" s="3">
        <f t="shared" si="0"/>
        <v>99.257708571428566</v>
      </c>
      <c r="T7" s="3">
        <f t="shared" si="0"/>
        <v>5.6588327399999998E-4</v>
      </c>
    </row>
    <row r="8" spans="1:20" x14ac:dyDescent="0.25">
      <c r="A8">
        <v>5</v>
      </c>
      <c r="B8" t="s">
        <v>9</v>
      </c>
      <c r="D8">
        <v>2.4127028300000002</v>
      </c>
      <c r="E8">
        <v>61.205633900000002</v>
      </c>
      <c r="F8">
        <v>159.42254600000001</v>
      </c>
      <c r="G8">
        <v>87.499988400000007</v>
      </c>
      <c r="H8" s="1">
        <v>5.66813521</v>
      </c>
      <c r="I8">
        <v>5.4473279899999998</v>
      </c>
      <c r="J8" s="1">
        <v>1.4004122E-15</v>
      </c>
      <c r="K8">
        <v>144.34686500000001</v>
      </c>
      <c r="L8">
        <v>52757.037700000001</v>
      </c>
      <c r="M8">
        <v>87.5</v>
      </c>
      <c r="N8">
        <v>150</v>
      </c>
      <c r="O8">
        <v>49762.5</v>
      </c>
      <c r="P8">
        <v>50000</v>
      </c>
      <c r="Q8">
        <v>98.6154516</v>
      </c>
      <c r="R8">
        <v>52901.3845</v>
      </c>
      <c r="S8" s="3">
        <f t="shared" si="0"/>
        <v>99.999986742857146</v>
      </c>
      <c r="T8" s="3">
        <f t="shared" si="0"/>
        <v>3.7787568066666668</v>
      </c>
    </row>
    <row r="9" spans="1:20" x14ac:dyDescent="0.25">
      <c r="A9">
        <v>6</v>
      </c>
      <c r="B9" t="s">
        <v>9</v>
      </c>
      <c r="D9">
        <v>2.5683947800000002</v>
      </c>
      <c r="E9">
        <v>64.614622999999995</v>
      </c>
      <c r="F9">
        <v>159.487312</v>
      </c>
      <c r="G9">
        <v>87.500001400000002</v>
      </c>
      <c r="H9">
        <v>17.680617300000002</v>
      </c>
      <c r="I9">
        <v>8.1275112299999996</v>
      </c>
      <c r="J9" s="1">
        <v>1.47078132E-18</v>
      </c>
      <c r="K9">
        <v>132.33438200000001</v>
      </c>
      <c r="L9">
        <v>52754.357499999998</v>
      </c>
      <c r="M9">
        <v>87.5</v>
      </c>
      <c r="N9">
        <v>150</v>
      </c>
      <c r="O9">
        <v>49762.5</v>
      </c>
      <c r="P9">
        <v>50000</v>
      </c>
      <c r="Q9">
        <v>113.30813000000001</v>
      </c>
      <c r="R9">
        <v>52886.691899999998</v>
      </c>
      <c r="S9" s="3">
        <f t="shared" si="0"/>
        <v>100.0000016</v>
      </c>
      <c r="T9" s="3">
        <f t="shared" si="0"/>
        <v>11.787078200000002</v>
      </c>
    </row>
    <row r="10" spans="1:20" x14ac:dyDescent="0.25">
      <c r="A10">
        <v>7</v>
      </c>
      <c r="B10" t="s">
        <v>9</v>
      </c>
      <c r="D10">
        <v>2.7341335500000001</v>
      </c>
      <c r="E10">
        <v>77.002752000000001</v>
      </c>
      <c r="F10">
        <v>159.55901900000001</v>
      </c>
      <c r="G10">
        <v>87.5</v>
      </c>
      <c r="H10">
        <v>30.987289000000001</v>
      </c>
      <c r="I10">
        <v>14.402199</v>
      </c>
      <c r="J10" s="1">
        <v>4.2517895100000002E-19</v>
      </c>
      <c r="K10">
        <v>119.027711</v>
      </c>
      <c r="L10">
        <v>52748.082799999996</v>
      </c>
      <c r="M10">
        <v>87.5</v>
      </c>
      <c r="N10">
        <v>150</v>
      </c>
      <c r="O10">
        <v>49762.5</v>
      </c>
      <c r="P10">
        <v>50000</v>
      </c>
      <c r="Q10">
        <v>132.889488</v>
      </c>
      <c r="R10">
        <v>52867.110500000003</v>
      </c>
      <c r="S10" s="3">
        <f t="shared" si="0"/>
        <v>100</v>
      </c>
      <c r="T10" s="3">
        <f t="shared" si="0"/>
        <v>20.658192666666668</v>
      </c>
    </row>
    <row r="11" spans="1:20" x14ac:dyDescent="0.25">
      <c r="A11">
        <v>8</v>
      </c>
      <c r="B11" t="s">
        <v>9</v>
      </c>
      <c r="D11">
        <v>2.9105674700000002</v>
      </c>
      <c r="E11">
        <v>101.412032</v>
      </c>
      <c r="F11">
        <v>159.63524699999999</v>
      </c>
      <c r="G11">
        <v>87.500011700000002</v>
      </c>
      <c r="H11">
        <v>45.158937799999997</v>
      </c>
      <c r="I11">
        <v>35.413657200000003</v>
      </c>
      <c r="J11" s="1">
        <v>1.5069463000000001E-19</v>
      </c>
      <c r="K11">
        <v>104.85605700000001</v>
      </c>
      <c r="L11">
        <v>52727.071300000003</v>
      </c>
      <c r="M11">
        <v>87.5</v>
      </c>
      <c r="N11">
        <v>150</v>
      </c>
      <c r="O11">
        <v>49762.5</v>
      </c>
      <c r="P11">
        <v>50000</v>
      </c>
      <c r="Q11">
        <v>168.072607</v>
      </c>
      <c r="R11">
        <v>52831.9274</v>
      </c>
      <c r="S11" s="3">
        <f t="shared" si="0"/>
        <v>100.00001337142857</v>
      </c>
      <c r="T11" s="3">
        <f t="shared" si="0"/>
        <v>30.105958533333329</v>
      </c>
    </row>
    <row r="12" spans="1:20" x14ac:dyDescent="0.25">
      <c r="A12">
        <v>9</v>
      </c>
      <c r="B12" t="s">
        <v>9</v>
      </c>
      <c r="D12">
        <v>3.0983866799999999</v>
      </c>
      <c r="E12">
        <v>131.98696100000001</v>
      </c>
      <c r="F12">
        <v>159.71658199999999</v>
      </c>
      <c r="G12">
        <v>87.499998700000006</v>
      </c>
      <c r="H12">
        <v>60.397334100000002</v>
      </c>
      <c r="I12">
        <v>133.38789</v>
      </c>
      <c r="J12" s="1">
        <v>3.6400026E-19</v>
      </c>
      <c r="K12">
        <v>89.617663800000003</v>
      </c>
      <c r="L12">
        <v>52629.097099999999</v>
      </c>
      <c r="M12">
        <v>87.5</v>
      </c>
      <c r="N12">
        <v>150</v>
      </c>
      <c r="O12">
        <v>49762.5</v>
      </c>
      <c r="P12">
        <v>50000</v>
      </c>
      <c r="Q12">
        <v>281.28522299999997</v>
      </c>
      <c r="R12">
        <v>52718.714800000002</v>
      </c>
      <c r="S12" s="3">
        <f t="shared" si="0"/>
        <v>99.999998514285735</v>
      </c>
      <c r="T12" s="3">
        <f t="shared" si="0"/>
        <v>40.264889400000001</v>
      </c>
    </row>
    <row r="13" spans="1:20" x14ac:dyDescent="0.25">
      <c r="A13">
        <v>10</v>
      </c>
      <c r="B13" t="s">
        <v>9</v>
      </c>
      <c r="D13">
        <v>3.2983258800000002</v>
      </c>
      <c r="E13">
        <v>147.08625900000001</v>
      </c>
      <c r="F13">
        <v>159.80417800000001</v>
      </c>
      <c r="G13">
        <v>87.500000099999994</v>
      </c>
      <c r="H13">
        <v>76.987312299999999</v>
      </c>
      <c r="I13">
        <v>410.81359600000002</v>
      </c>
      <c r="J13" s="1">
        <v>9.0733829900000005E-20</v>
      </c>
      <c r="K13">
        <v>73.027687700000001</v>
      </c>
      <c r="L13">
        <v>52351.671399999999</v>
      </c>
      <c r="M13">
        <v>87.5</v>
      </c>
      <c r="N13">
        <v>150</v>
      </c>
      <c r="O13">
        <v>49762.5</v>
      </c>
      <c r="P13">
        <v>50000</v>
      </c>
      <c r="Q13">
        <v>575.30090800000005</v>
      </c>
      <c r="R13">
        <v>52424.699099999998</v>
      </c>
      <c r="S13" s="3">
        <f t="shared" si="0"/>
        <v>100.00000011428571</v>
      </c>
      <c r="T13" s="3">
        <f t="shared" si="0"/>
        <v>51.324874866666669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151.642743</v>
      </c>
      <c r="F14">
        <v>159.89290800000001</v>
      </c>
      <c r="G14">
        <v>87.5</v>
      </c>
      <c r="H14">
        <v>93.711352199999993</v>
      </c>
      <c r="I14">
        <v>776.83214299999997</v>
      </c>
      <c r="J14" s="1">
        <v>8.1775300799999994E-21</v>
      </c>
      <c r="K14">
        <v>56.3036478</v>
      </c>
      <c r="L14">
        <v>51985.652900000001</v>
      </c>
      <c r="M14">
        <v>87.5</v>
      </c>
      <c r="N14">
        <v>150</v>
      </c>
      <c r="O14">
        <v>49762.5</v>
      </c>
      <c r="P14">
        <v>50000</v>
      </c>
      <c r="Q14">
        <v>958.04349500000001</v>
      </c>
      <c r="R14">
        <v>52041.9565</v>
      </c>
      <c r="S14" s="3">
        <f t="shared" si="0"/>
        <v>100</v>
      </c>
      <c r="T14" s="3">
        <f t="shared" si="0"/>
        <v>62.474234799999998</v>
      </c>
    </row>
    <row r="15" spans="1:20" x14ac:dyDescent="0.25">
      <c r="A15">
        <v>12</v>
      </c>
      <c r="B15" t="s">
        <v>9</v>
      </c>
      <c r="D15">
        <v>3.73774315</v>
      </c>
      <c r="E15">
        <v>153.621758</v>
      </c>
      <c r="F15">
        <v>159.97670299999999</v>
      </c>
      <c r="G15">
        <v>87.5</v>
      </c>
      <c r="H15">
        <v>109.346056</v>
      </c>
      <c r="I15">
        <v>1184.5072</v>
      </c>
      <c r="J15" s="1">
        <v>2.8231124299999999E-21</v>
      </c>
      <c r="K15">
        <v>40.6689443</v>
      </c>
      <c r="L15">
        <v>51577.977800000001</v>
      </c>
      <c r="M15">
        <v>87.5</v>
      </c>
      <c r="N15">
        <v>150</v>
      </c>
      <c r="O15">
        <v>49762.5</v>
      </c>
      <c r="P15">
        <v>50000</v>
      </c>
      <c r="Q15">
        <v>1381.3532499999999</v>
      </c>
      <c r="R15">
        <v>51618.646699999998</v>
      </c>
      <c r="S15" s="3">
        <f t="shared" si="0"/>
        <v>100</v>
      </c>
      <c r="T15" s="3">
        <f t="shared" si="0"/>
        <v>72.897370666666674</v>
      </c>
    </row>
    <row r="16" spans="1:20" x14ac:dyDescent="0.25">
      <c r="A16">
        <v>13</v>
      </c>
      <c r="B16" t="s">
        <v>9</v>
      </c>
      <c r="D16">
        <v>3.97894009</v>
      </c>
      <c r="E16">
        <v>154.75769700000001</v>
      </c>
      <c r="F16">
        <v>160.04947100000001</v>
      </c>
      <c r="G16">
        <v>87.499998099999999</v>
      </c>
      <c r="H16">
        <v>122.776883</v>
      </c>
      <c r="I16">
        <v>1627.6814199999999</v>
      </c>
      <c r="J16" s="1">
        <v>1.66673602E-21</v>
      </c>
      <c r="K16">
        <v>27.2381171</v>
      </c>
      <c r="L16">
        <v>51134.803599999999</v>
      </c>
      <c r="M16">
        <v>87.5</v>
      </c>
      <c r="N16">
        <v>150</v>
      </c>
      <c r="O16">
        <v>49762.5</v>
      </c>
      <c r="P16">
        <v>50000</v>
      </c>
      <c r="Q16">
        <v>1837.9583</v>
      </c>
      <c r="R16">
        <v>51162.041700000002</v>
      </c>
      <c r="S16" s="3">
        <f t="shared" si="0"/>
        <v>99.999997828571423</v>
      </c>
      <c r="T16" s="3">
        <f t="shared" si="0"/>
        <v>81.851255333333327</v>
      </c>
    </row>
    <row r="17" spans="1:20" x14ac:dyDescent="0.25">
      <c r="A17">
        <v>14</v>
      </c>
      <c r="B17" t="s">
        <v>9</v>
      </c>
      <c r="D17">
        <v>4.2357014900000003</v>
      </c>
      <c r="E17">
        <v>155.529158</v>
      </c>
      <c r="F17">
        <v>160.10646700000001</v>
      </c>
      <c r="G17">
        <v>87.499999000000003</v>
      </c>
      <c r="H17">
        <v>133.18302199999999</v>
      </c>
      <c r="I17">
        <v>2106.7673399999999</v>
      </c>
      <c r="J17" s="1">
        <v>1.78941923E-19</v>
      </c>
      <c r="K17">
        <v>16.831977200000001</v>
      </c>
      <c r="L17">
        <v>50655.717700000001</v>
      </c>
      <c r="M17">
        <v>87.5</v>
      </c>
      <c r="N17">
        <v>150</v>
      </c>
      <c r="O17">
        <v>49762.5</v>
      </c>
      <c r="P17">
        <v>50000</v>
      </c>
      <c r="Q17">
        <v>2327.4503599999998</v>
      </c>
      <c r="R17">
        <v>50672.549599999998</v>
      </c>
      <c r="S17" s="3">
        <f t="shared" si="0"/>
        <v>99.99999885714287</v>
      </c>
      <c r="T17" s="3">
        <f t="shared" si="0"/>
        <v>88.788681333333329</v>
      </c>
    </row>
    <row r="18" spans="1:20" x14ac:dyDescent="0.25">
      <c r="A18">
        <v>15</v>
      </c>
      <c r="B18" t="s">
        <v>9</v>
      </c>
      <c r="D18">
        <v>4.5090317300000002</v>
      </c>
      <c r="E18">
        <v>156.10508999999999</v>
      </c>
      <c r="F18">
        <v>160.14635200000001</v>
      </c>
      <c r="G18">
        <v>87.499999599999995</v>
      </c>
      <c r="H18">
        <v>140.38609299999999</v>
      </c>
      <c r="I18">
        <v>2623.13834</v>
      </c>
      <c r="J18" s="1">
        <v>8.9263266700000002E-20</v>
      </c>
      <c r="K18">
        <v>9.6289066000000005</v>
      </c>
      <c r="L18">
        <v>50139.346700000002</v>
      </c>
      <c r="M18">
        <v>87.5</v>
      </c>
      <c r="N18">
        <v>150</v>
      </c>
      <c r="O18">
        <v>49762.5</v>
      </c>
      <c r="P18">
        <v>50000</v>
      </c>
      <c r="Q18">
        <v>2851.0244400000001</v>
      </c>
      <c r="R18">
        <v>50148.975599999998</v>
      </c>
      <c r="S18" s="3">
        <f t="shared" si="0"/>
        <v>99.99999954285714</v>
      </c>
      <c r="T18" s="3">
        <f t="shared" si="0"/>
        <v>93.590728666666649</v>
      </c>
    </row>
    <row r="19" spans="1:20" x14ac:dyDescent="0.25">
      <c r="A19">
        <v>16</v>
      </c>
      <c r="B19" t="s">
        <v>9</v>
      </c>
      <c r="D19">
        <v>4.8</v>
      </c>
      <c r="E19">
        <v>156.554644</v>
      </c>
      <c r="F19">
        <v>160.171434</v>
      </c>
      <c r="G19">
        <v>87.499999900000006</v>
      </c>
      <c r="H19">
        <v>144.865634</v>
      </c>
      <c r="I19">
        <v>3177.9614099999999</v>
      </c>
      <c r="J19" s="1">
        <v>3.71313733E-22</v>
      </c>
      <c r="K19">
        <v>5.1493658399999997</v>
      </c>
      <c r="L19">
        <v>49584.5236</v>
      </c>
      <c r="M19">
        <v>87.5</v>
      </c>
      <c r="N19">
        <v>150</v>
      </c>
      <c r="O19">
        <v>49762.5</v>
      </c>
      <c r="P19">
        <v>50000</v>
      </c>
      <c r="Q19">
        <v>3410.3270400000001</v>
      </c>
      <c r="R19">
        <v>49589.673000000003</v>
      </c>
      <c r="S19" s="3">
        <f t="shared" si="0"/>
        <v>99.999999885714288</v>
      </c>
      <c r="T19" s="3">
        <f t="shared" si="0"/>
        <v>96.577089333333333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6E51-C178-4A3F-9E49-1D2F31F0EA78}">
  <dimension ref="A1:T19"/>
  <sheetViews>
    <sheetView workbookViewId="0">
      <selection activeCell="S4" sqref="S4:S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43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60.194771699999997</v>
      </c>
      <c r="F4">
        <v>155.82902799999999</v>
      </c>
      <c r="G4">
        <v>134.92885699999999</v>
      </c>
      <c r="H4" s="1">
        <v>1.47711136E-3</v>
      </c>
      <c r="I4">
        <v>3.2728020600000001</v>
      </c>
      <c r="J4">
        <v>31.321142999999999</v>
      </c>
      <c r="K4">
        <v>142.51352299999999</v>
      </c>
      <c r="L4">
        <v>50187.962200000002</v>
      </c>
      <c r="M4">
        <v>166.25</v>
      </c>
      <c r="N4">
        <v>142.5</v>
      </c>
      <c r="O4">
        <v>47191.25</v>
      </c>
      <c r="P4">
        <v>47500</v>
      </c>
      <c r="Q4">
        <v>138.203136</v>
      </c>
      <c r="R4">
        <v>50361.796900000001</v>
      </c>
      <c r="S4" s="3">
        <f>100*G4/M4</f>
        <v>81.160214736842093</v>
      </c>
      <c r="T4" s="3">
        <f>100*H4/N4</f>
        <v>1.0365693754385964E-3</v>
      </c>
    </row>
    <row r="5" spans="1:20" x14ac:dyDescent="0.25">
      <c r="A5">
        <v>2</v>
      </c>
      <c r="B5" t="s">
        <v>9</v>
      </c>
      <c r="D5">
        <v>2.1290602000000001</v>
      </c>
      <c r="E5">
        <v>60.221536</v>
      </c>
      <c r="F5">
        <v>158.05427900000001</v>
      </c>
      <c r="G5">
        <v>154.15364700000001</v>
      </c>
      <c r="H5" s="1">
        <v>1.78007471E-3</v>
      </c>
      <c r="I5">
        <v>3.7464297000000002</v>
      </c>
      <c r="J5" s="1">
        <v>12.096353300000001</v>
      </c>
      <c r="K5">
        <v>142.51321999999999</v>
      </c>
      <c r="L5">
        <v>50187.488599999997</v>
      </c>
      <c r="M5">
        <v>166.25</v>
      </c>
      <c r="N5">
        <v>142.5</v>
      </c>
      <c r="O5">
        <v>47191.25</v>
      </c>
      <c r="P5">
        <v>47500</v>
      </c>
      <c r="Q5">
        <v>157.90185600000001</v>
      </c>
      <c r="R5">
        <v>50342.098100000003</v>
      </c>
      <c r="S5" s="3">
        <f t="shared" ref="S5:T19" si="0">100*G5/M5</f>
        <v>92.723998195488718</v>
      </c>
      <c r="T5" s="3">
        <f t="shared" si="0"/>
        <v>1.2491752350877192E-3</v>
      </c>
    </row>
    <row r="6" spans="1:20" x14ac:dyDescent="0.25">
      <c r="A6">
        <v>3</v>
      </c>
      <c r="B6" t="s">
        <v>9</v>
      </c>
      <c r="D6">
        <v>2.2664486699999999</v>
      </c>
      <c r="E6">
        <v>61.178087400000003</v>
      </c>
      <c r="F6">
        <v>159.409524</v>
      </c>
      <c r="G6">
        <v>166.250001</v>
      </c>
      <c r="H6" s="1">
        <v>2.9139665099999998</v>
      </c>
      <c r="I6">
        <v>7.9023353299999997</v>
      </c>
      <c r="J6" s="1">
        <v>1.7388046300000001E-20</v>
      </c>
      <c r="K6">
        <v>139.601033</v>
      </c>
      <c r="L6">
        <v>50183.332699999999</v>
      </c>
      <c r="M6">
        <v>166.25</v>
      </c>
      <c r="N6">
        <v>142.5</v>
      </c>
      <c r="O6">
        <v>47191.25</v>
      </c>
      <c r="P6">
        <v>47500</v>
      </c>
      <c r="Q6">
        <v>177.066303</v>
      </c>
      <c r="R6">
        <v>50322.933700000001</v>
      </c>
      <c r="S6" s="3">
        <f t="shared" si="0"/>
        <v>100.00000060150377</v>
      </c>
      <c r="T6" s="3">
        <f t="shared" si="0"/>
        <v>2.0448887789473682</v>
      </c>
    </row>
    <row r="7" spans="1:20" x14ac:dyDescent="0.25">
      <c r="A7">
        <v>4</v>
      </c>
      <c r="B7" t="s">
        <v>9</v>
      </c>
      <c r="D7">
        <v>2.31</v>
      </c>
      <c r="E7">
        <v>61.722151400000001</v>
      </c>
      <c r="F7">
        <v>159.42628300000001</v>
      </c>
      <c r="G7">
        <v>166.24997300000001</v>
      </c>
      <c r="H7" s="1">
        <v>5.8727863600000001</v>
      </c>
      <c r="I7">
        <v>9.3402875600000002</v>
      </c>
      <c r="J7" s="1">
        <v>5.2521273800000001E-15</v>
      </c>
      <c r="K7">
        <v>136.64221499999999</v>
      </c>
      <c r="L7">
        <v>50181.894699999997</v>
      </c>
      <c r="M7">
        <v>166.25</v>
      </c>
      <c r="N7">
        <v>142.5</v>
      </c>
      <c r="O7">
        <v>47191.25</v>
      </c>
      <c r="P7">
        <v>47500</v>
      </c>
      <c r="Q7">
        <v>181.46304699999999</v>
      </c>
      <c r="R7">
        <v>50318.536899999999</v>
      </c>
      <c r="S7" s="3">
        <f t="shared" si="0"/>
        <v>99.999983759398518</v>
      </c>
      <c r="T7" s="3">
        <f t="shared" si="0"/>
        <v>4.1212535859649124</v>
      </c>
    </row>
    <row r="8" spans="1:20" x14ac:dyDescent="0.25">
      <c r="A8">
        <v>5</v>
      </c>
      <c r="B8" t="s">
        <v>9</v>
      </c>
      <c r="D8">
        <v>2.4127028300000002</v>
      </c>
      <c r="E8">
        <v>63.417572700000001</v>
      </c>
      <c r="F8">
        <v>159.47091</v>
      </c>
      <c r="G8">
        <v>166.24996200000001</v>
      </c>
      <c r="H8" s="1">
        <v>13.748541700000001</v>
      </c>
      <c r="I8">
        <v>12.1013448</v>
      </c>
      <c r="J8" s="1">
        <v>3.6923736099999998E-18</v>
      </c>
      <c r="K8">
        <v>128.76646099999999</v>
      </c>
      <c r="L8">
        <v>50179.133699999998</v>
      </c>
      <c r="M8">
        <v>166.25</v>
      </c>
      <c r="N8">
        <v>142.5</v>
      </c>
      <c r="O8">
        <v>47191.25</v>
      </c>
      <c r="P8">
        <v>47500</v>
      </c>
      <c r="Q8">
        <v>192.09984800000001</v>
      </c>
      <c r="R8">
        <v>50307.900099999999</v>
      </c>
      <c r="S8" s="3">
        <f t="shared" si="0"/>
        <v>99.999977142857148</v>
      </c>
      <c r="T8" s="3">
        <f t="shared" si="0"/>
        <v>9.6480994385964909</v>
      </c>
    </row>
    <row r="9" spans="1:20" x14ac:dyDescent="0.25">
      <c r="A9">
        <v>6</v>
      </c>
      <c r="B9" t="s">
        <v>9</v>
      </c>
      <c r="D9">
        <v>2.5683947800000002</v>
      </c>
      <c r="E9">
        <v>69.396476399999997</v>
      </c>
      <c r="F9">
        <v>159.54173299999999</v>
      </c>
      <c r="G9">
        <v>166.249923</v>
      </c>
      <c r="H9">
        <v>26.249855</v>
      </c>
      <c r="I9">
        <v>18.018125300000001</v>
      </c>
      <c r="J9" s="1">
        <v>1.03249692E-18</v>
      </c>
      <c r="K9">
        <v>116.265134</v>
      </c>
      <c r="L9">
        <v>50173.216899999999</v>
      </c>
      <c r="M9">
        <v>166.25</v>
      </c>
      <c r="N9">
        <v>142.5</v>
      </c>
      <c r="O9">
        <v>47191.25</v>
      </c>
      <c r="P9">
        <v>47500</v>
      </c>
      <c r="Q9">
        <v>210.51790299999999</v>
      </c>
      <c r="R9">
        <v>50289.482100000001</v>
      </c>
      <c r="S9" s="3">
        <f t="shared" si="0"/>
        <v>99.99995368421051</v>
      </c>
      <c r="T9" s="3">
        <f t="shared" si="0"/>
        <v>18.420950877192983</v>
      </c>
    </row>
    <row r="10" spans="1:20" x14ac:dyDescent="0.25">
      <c r="A10">
        <v>7</v>
      </c>
      <c r="B10" t="s">
        <v>9</v>
      </c>
      <c r="D10">
        <v>2.7341335500000001</v>
      </c>
      <c r="E10">
        <v>85.181838999999997</v>
      </c>
      <c r="F10">
        <v>159.617344</v>
      </c>
      <c r="G10">
        <v>166.24994899999999</v>
      </c>
      <c r="H10">
        <v>39.611643399999998</v>
      </c>
      <c r="I10">
        <v>32.988292999999999</v>
      </c>
      <c r="J10" s="1">
        <v>2.8609957999999998E-19</v>
      </c>
      <c r="K10">
        <v>102.90335399999999</v>
      </c>
      <c r="L10">
        <v>50158.246700000003</v>
      </c>
      <c r="M10">
        <v>166.25</v>
      </c>
      <c r="N10">
        <v>142.5</v>
      </c>
      <c r="O10">
        <v>47191.25</v>
      </c>
      <c r="P10">
        <v>47500</v>
      </c>
      <c r="Q10">
        <v>238.849885</v>
      </c>
      <c r="R10">
        <v>50261.150099999999</v>
      </c>
      <c r="S10" s="3">
        <f t="shared" si="0"/>
        <v>99.999969323308264</v>
      </c>
      <c r="T10" s="3">
        <f t="shared" si="0"/>
        <v>27.79764449122807</v>
      </c>
    </row>
    <row r="11" spans="1:20" x14ac:dyDescent="0.25">
      <c r="A11">
        <v>8</v>
      </c>
      <c r="B11" t="s">
        <v>9</v>
      </c>
      <c r="D11">
        <v>2.9105674700000002</v>
      </c>
      <c r="E11">
        <v>113.931568</v>
      </c>
      <c r="F11">
        <v>159.69748100000001</v>
      </c>
      <c r="G11">
        <v>166.25000800000001</v>
      </c>
      <c r="H11">
        <v>53.836491299999999</v>
      </c>
      <c r="I11">
        <v>88.852087600000004</v>
      </c>
      <c r="J11" s="1">
        <v>1.23556907E-19</v>
      </c>
      <c r="K11">
        <v>88.678508100000002</v>
      </c>
      <c r="L11">
        <v>50102.382899999997</v>
      </c>
      <c r="M11">
        <v>166.25</v>
      </c>
      <c r="N11">
        <v>142.5</v>
      </c>
      <c r="O11">
        <v>47191.25</v>
      </c>
      <c r="P11">
        <v>47500</v>
      </c>
      <c r="Q11">
        <v>308.93858699999998</v>
      </c>
      <c r="R11">
        <v>50191.061399999999</v>
      </c>
      <c r="S11" s="3">
        <f t="shared" si="0"/>
        <v>100.00000481203008</v>
      </c>
      <c r="T11" s="3">
        <f t="shared" si="0"/>
        <v>37.77999389473684</v>
      </c>
    </row>
    <row r="12" spans="1:20" x14ac:dyDescent="0.25">
      <c r="A12">
        <v>9</v>
      </c>
      <c r="B12" t="s">
        <v>9</v>
      </c>
      <c r="D12">
        <v>3.0983866799999999</v>
      </c>
      <c r="E12">
        <v>138.67828299999999</v>
      </c>
      <c r="F12">
        <v>159.78358299999999</v>
      </c>
      <c r="G12">
        <v>166.249999</v>
      </c>
      <c r="H12">
        <v>69.291576699999993</v>
      </c>
      <c r="I12">
        <v>288.86978199999999</v>
      </c>
      <c r="J12" s="1">
        <v>2.8344712E-21</v>
      </c>
      <c r="K12">
        <v>73.223422999999997</v>
      </c>
      <c r="L12">
        <v>49902.3652</v>
      </c>
      <c r="M12">
        <v>166.25</v>
      </c>
      <c r="N12">
        <v>142.5</v>
      </c>
      <c r="O12">
        <v>47191.25</v>
      </c>
      <c r="P12">
        <v>47500</v>
      </c>
      <c r="Q12">
        <v>524.41135799999995</v>
      </c>
      <c r="R12">
        <v>49975.588600000003</v>
      </c>
      <c r="S12" s="3">
        <f t="shared" si="0"/>
        <v>99.999999398496229</v>
      </c>
      <c r="T12" s="3">
        <f t="shared" si="0"/>
        <v>48.62566785964912</v>
      </c>
    </row>
    <row r="13" spans="1:20" x14ac:dyDescent="0.25">
      <c r="A13">
        <v>10</v>
      </c>
      <c r="B13" t="s">
        <v>9</v>
      </c>
      <c r="D13">
        <v>3.2983258800000002</v>
      </c>
      <c r="E13">
        <v>147.62981199999999</v>
      </c>
      <c r="F13">
        <v>159.87265300000001</v>
      </c>
      <c r="G13">
        <v>166.25</v>
      </c>
      <c r="H13">
        <v>85.288656200000005</v>
      </c>
      <c r="I13">
        <v>612.74155800000005</v>
      </c>
      <c r="J13" s="1">
        <v>5.8677588799999998E-20</v>
      </c>
      <c r="K13">
        <v>57.226343800000002</v>
      </c>
      <c r="L13">
        <v>49578.493399999999</v>
      </c>
      <c r="M13">
        <v>166.25</v>
      </c>
      <c r="N13">
        <v>142.5</v>
      </c>
      <c r="O13">
        <v>47191.25</v>
      </c>
      <c r="P13">
        <v>47500</v>
      </c>
      <c r="Q13">
        <v>864.280214</v>
      </c>
      <c r="R13">
        <v>49635.719799999999</v>
      </c>
      <c r="S13" s="3">
        <f t="shared" si="0"/>
        <v>100</v>
      </c>
      <c r="T13" s="3">
        <f t="shared" si="0"/>
        <v>59.851688561403513</v>
      </c>
    </row>
    <row r="14" spans="1:20" x14ac:dyDescent="0.25">
      <c r="A14">
        <v>11</v>
      </c>
      <c r="B14" t="s">
        <v>9</v>
      </c>
      <c r="D14">
        <v>3.5111671800000002</v>
      </c>
      <c r="E14">
        <v>151.20147600000001</v>
      </c>
      <c r="F14">
        <v>159.95829900000001</v>
      </c>
      <c r="G14">
        <v>166.25</v>
      </c>
      <c r="H14">
        <v>100.535003</v>
      </c>
      <c r="I14">
        <v>987.92703300000005</v>
      </c>
      <c r="J14" s="1">
        <v>1.10174161E-20</v>
      </c>
      <c r="K14">
        <v>41.979997400000002</v>
      </c>
      <c r="L14">
        <v>49203.307999999997</v>
      </c>
      <c r="M14">
        <v>166.25</v>
      </c>
      <c r="N14">
        <v>142.5</v>
      </c>
      <c r="O14">
        <v>47191.25</v>
      </c>
      <c r="P14">
        <v>47500</v>
      </c>
      <c r="Q14">
        <v>1254.7120399999999</v>
      </c>
      <c r="R14">
        <v>49245.288</v>
      </c>
      <c r="S14" s="3">
        <f t="shared" si="0"/>
        <v>100</v>
      </c>
      <c r="T14" s="3">
        <f t="shared" si="0"/>
        <v>70.550879298245619</v>
      </c>
    </row>
    <row r="15" spans="1:20" x14ac:dyDescent="0.25">
      <c r="A15">
        <v>12</v>
      </c>
      <c r="B15" t="s">
        <v>9</v>
      </c>
      <c r="D15">
        <v>3.73774315</v>
      </c>
      <c r="E15">
        <v>153.08956800000001</v>
      </c>
      <c r="F15">
        <v>160.03424200000001</v>
      </c>
      <c r="G15">
        <v>166.25</v>
      </c>
      <c r="H15">
        <v>113.912659</v>
      </c>
      <c r="I15">
        <v>1399.5567100000001</v>
      </c>
      <c r="J15" s="1">
        <v>6.0522196600000002E-25</v>
      </c>
      <c r="K15">
        <v>28.602340600000002</v>
      </c>
      <c r="L15">
        <v>48791.6783</v>
      </c>
      <c r="M15">
        <v>166.25</v>
      </c>
      <c r="N15">
        <v>142.5</v>
      </c>
      <c r="O15">
        <v>47191.25</v>
      </c>
      <c r="P15">
        <v>47500</v>
      </c>
      <c r="Q15">
        <v>1679.71937</v>
      </c>
      <c r="R15">
        <v>48820.280599999998</v>
      </c>
      <c r="S15" s="3">
        <f t="shared" si="0"/>
        <v>100</v>
      </c>
      <c r="T15" s="3">
        <f t="shared" si="0"/>
        <v>79.938708070175437</v>
      </c>
    </row>
    <row r="16" spans="1:20" x14ac:dyDescent="0.25">
      <c r="A16">
        <v>13</v>
      </c>
      <c r="B16" t="s">
        <v>9</v>
      </c>
      <c r="D16">
        <v>3.97894009</v>
      </c>
      <c r="E16">
        <v>154.28704500000001</v>
      </c>
      <c r="F16">
        <v>160.095158</v>
      </c>
      <c r="G16">
        <v>166.24999600000001</v>
      </c>
      <c r="H16">
        <v>124.52854600000001</v>
      </c>
      <c r="I16">
        <v>1846.12141</v>
      </c>
      <c r="J16" s="1">
        <v>1.11728003E-23</v>
      </c>
      <c r="K16">
        <v>17.986452700000001</v>
      </c>
      <c r="L16">
        <v>48345.113599999997</v>
      </c>
      <c r="M16">
        <v>166.25</v>
      </c>
      <c r="N16">
        <v>142.5</v>
      </c>
      <c r="O16">
        <v>47191.25</v>
      </c>
      <c r="P16">
        <v>47500</v>
      </c>
      <c r="Q16">
        <v>2136.89995</v>
      </c>
      <c r="R16">
        <v>48363.1</v>
      </c>
      <c r="S16" s="3">
        <f t="shared" si="0"/>
        <v>99.999997593984986</v>
      </c>
      <c r="T16" s="3">
        <f t="shared" si="0"/>
        <v>87.388453333333331</v>
      </c>
    </row>
    <row r="17" spans="1:20" x14ac:dyDescent="0.25">
      <c r="A17">
        <v>14</v>
      </c>
      <c r="B17" t="s">
        <v>9</v>
      </c>
      <c r="D17">
        <v>4.2357014900000003</v>
      </c>
      <c r="E17">
        <v>155.134972</v>
      </c>
      <c r="F17">
        <v>160.138848</v>
      </c>
      <c r="G17">
        <v>166.24999800000001</v>
      </c>
      <c r="H17">
        <v>132.06044800000001</v>
      </c>
      <c r="I17">
        <v>2328.4426400000002</v>
      </c>
      <c r="J17" s="1">
        <v>5.9079492800000002E-21</v>
      </c>
      <c r="K17">
        <v>10.454550899999999</v>
      </c>
      <c r="L17">
        <v>47862.792399999998</v>
      </c>
      <c r="M17">
        <v>166.25</v>
      </c>
      <c r="N17">
        <v>142.5</v>
      </c>
      <c r="O17">
        <v>47191.25</v>
      </c>
      <c r="P17">
        <v>47500</v>
      </c>
      <c r="Q17">
        <v>2626.7530900000002</v>
      </c>
      <c r="R17">
        <v>47873.246899999998</v>
      </c>
      <c r="S17" s="3">
        <f t="shared" si="0"/>
        <v>99.999998796992486</v>
      </c>
      <c r="T17" s="3">
        <f t="shared" si="0"/>
        <v>92.673998596491245</v>
      </c>
    </row>
    <row r="18" spans="1:20" x14ac:dyDescent="0.25">
      <c r="A18">
        <v>15</v>
      </c>
      <c r="B18" t="s">
        <v>9</v>
      </c>
      <c r="D18">
        <v>4.5090317300000002</v>
      </c>
      <c r="E18">
        <v>155.77289500000001</v>
      </c>
      <c r="F18">
        <v>160.16693100000001</v>
      </c>
      <c r="G18">
        <v>166.25</v>
      </c>
      <c r="H18">
        <v>136.84863300000001</v>
      </c>
      <c r="I18">
        <v>2847.50119</v>
      </c>
      <c r="J18" s="1">
        <v>4.9807122099999998E-22</v>
      </c>
      <c r="K18">
        <v>5.6663664200000001</v>
      </c>
      <c r="L18">
        <v>47343.733800000002</v>
      </c>
      <c r="M18">
        <v>166.25</v>
      </c>
      <c r="N18">
        <v>142.5</v>
      </c>
      <c r="O18">
        <v>47191.25</v>
      </c>
      <c r="P18">
        <v>47500</v>
      </c>
      <c r="Q18">
        <v>3150.5998300000001</v>
      </c>
      <c r="R18">
        <v>47349.400199999996</v>
      </c>
      <c r="S18" s="3">
        <f t="shared" si="0"/>
        <v>100</v>
      </c>
      <c r="T18" s="3">
        <f t="shared" si="0"/>
        <v>96.034128421052642</v>
      </c>
    </row>
    <row r="19" spans="1:20" x14ac:dyDescent="0.25">
      <c r="A19">
        <v>16</v>
      </c>
      <c r="B19" t="s">
        <v>9</v>
      </c>
      <c r="D19">
        <v>4.8</v>
      </c>
      <c r="E19">
        <v>156.267886</v>
      </c>
      <c r="F19">
        <v>160.18335099999999</v>
      </c>
      <c r="G19">
        <v>166.25</v>
      </c>
      <c r="H19">
        <v>139.616703</v>
      </c>
      <c r="I19">
        <v>3404.1989100000001</v>
      </c>
      <c r="J19" s="1">
        <v>5.4474905699999998E-22</v>
      </c>
      <c r="K19">
        <v>2.8982971900000001</v>
      </c>
      <c r="L19">
        <v>46787.036099999998</v>
      </c>
      <c r="M19">
        <v>166.25</v>
      </c>
      <c r="N19">
        <v>142.5</v>
      </c>
      <c r="O19">
        <v>47191.25</v>
      </c>
      <c r="P19">
        <v>47500</v>
      </c>
      <c r="Q19">
        <v>3710.0656199999999</v>
      </c>
      <c r="R19">
        <v>46789.934399999998</v>
      </c>
      <c r="S19" s="3">
        <f t="shared" si="0"/>
        <v>100</v>
      </c>
      <c r="T19" s="3">
        <f t="shared" si="0"/>
        <v>97.976633684210526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13B4-D0FD-44AC-9CB9-3238B7F1BE1B}">
  <dimension ref="A1:T19"/>
  <sheetViews>
    <sheetView workbookViewId="0">
      <selection activeCell="S4" activeCellId="1" sqref="E4:F19 S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44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60.178269299999997</v>
      </c>
      <c r="F4">
        <v>152.82772299999999</v>
      </c>
      <c r="G4">
        <v>122.717834</v>
      </c>
      <c r="H4" s="1">
        <v>1.3048474800000001E-3</v>
      </c>
      <c r="I4">
        <v>2.9730601600000002</v>
      </c>
      <c r="J4">
        <v>61.032165900000003</v>
      </c>
      <c r="K4">
        <v>157.51369500000001</v>
      </c>
      <c r="L4">
        <v>55155.761899999998</v>
      </c>
      <c r="M4">
        <v>183.75</v>
      </c>
      <c r="N4">
        <v>157.5</v>
      </c>
      <c r="O4">
        <v>52158.75</v>
      </c>
      <c r="P4">
        <v>52500</v>
      </c>
      <c r="Q4">
        <v>125.692199</v>
      </c>
      <c r="R4">
        <v>55374.307800000002</v>
      </c>
      <c r="S4" s="3">
        <f>100*G4/M4</f>
        <v>66.785215782312932</v>
      </c>
      <c r="T4" s="3">
        <f>100*H4/N4</f>
        <v>8.2847459047619056E-4</v>
      </c>
    </row>
    <row r="5" spans="1:20" x14ac:dyDescent="0.25">
      <c r="A5">
        <v>2</v>
      </c>
      <c r="B5" t="s">
        <v>9</v>
      </c>
      <c r="D5">
        <v>2.1290602000000001</v>
      </c>
      <c r="E5">
        <v>60.202883900000003</v>
      </c>
      <c r="F5">
        <v>154.85863699999999</v>
      </c>
      <c r="G5">
        <v>140.52567300000001</v>
      </c>
      <c r="H5" s="1">
        <v>1.566574E-3</v>
      </c>
      <c r="I5">
        <v>3.4105559900000002</v>
      </c>
      <c r="J5" s="1">
        <v>43.224326699999999</v>
      </c>
      <c r="K5">
        <v>157.51343299999999</v>
      </c>
      <c r="L5">
        <v>55155.324399999998</v>
      </c>
      <c r="M5">
        <v>183.75</v>
      </c>
      <c r="N5">
        <v>157.5</v>
      </c>
      <c r="O5">
        <v>52158.75</v>
      </c>
      <c r="P5">
        <v>52500</v>
      </c>
      <c r="Q5">
        <v>143.93779599999999</v>
      </c>
      <c r="R5">
        <v>55356.0622</v>
      </c>
      <c r="S5" s="3">
        <f t="shared" ref="S5:T19" si="0">100*G5/M5</f>
        <v>76.476556734693887</v>
      </c>
      <c r="T5" s="3">
        <f t="shared" si="0"/>
        <v>9.9465015873015871E-4</v>
      </c>
    </row>
    <row r="6" spans="1:20" x14ac:dyDescent="0.25">
      <c r="A6">
        <v>3</v>
      </c>
      <c r="B6" t="s">
        <v>9</v>
      </c>
      <c r="D6">
        <v>2.2664486699999999</v>
      </c>
      <c r="E6">
        <v>60.230409299999998</v>
      </c>
      <c r="F6">
        <v>157.016244</v>
      </c>
      <c r="G6">
        <v>160.495901</v>
      </c>
      <c r="H6" s="1">
        <v>1.8940654500000001E-3</v>
      </c>
      <c r="I6">
        <v>3.9030965200000001</v>
      </c>
      <c r="J6" s="1">
        <v>23.254098599999999</v>
      </c>
      <c r="K6">
        <v>157.51310599999999</v>
      </c>
      <c r="L6">
        <v>55154.831899999997</v>
      </c>
      <c r="M6">
        <v>183.75</v>
      </c>
      <c r="N6">
        <v>157.5</v>
      </c>
      <c r="O6">
        <v>52158.75</v>
      </c>
      <c r="P6">
        <v>52500</v>
      </c>
      <c r="Q6">
        <v>164.400892</v>
      </c>
      <c r="R6">
        <v>55335.599099999999</v>
      </c>
      <c r="S6" s="3">
        <f t="shared" si="0"/>
        <v>87.344708027210885</v>
      </c>
      <c r="T6" s="3">
        <f t="shared" si="0"/>
        <v>1.2025812380952381E-3</v>
      </c>
    </row>
    <row r="7" spans="1:20" x14ac:dyDescent="0.25">
      <c r="A7">
        <v>4</v>
      </c>
      <c r="B7" t="s">
        <v>9</v>
      </c>
      <c r="D7">
        <v>2.31</v>
      </c>
      <c r="E7">
        <v>60.238118800000002</v>
      </c>
      <c r="F7">
        <v>157.699219</v>
      </c>
      <c r="G7">
        <v>167.04953900000001</v>
      </c>
      <c r="H7" s="1">
        <v>2.01051066E-3</v>
      </c>
      <c r="I7">
        <v>4.0650637200000004</v>
      </c>
      <c r="J7" s="1">
        <v>16.700462099999999</v>
      </c>
      <c r="K7">
        <v>157.512989</v>
      </c>
      <c r="L7">
        <v>55154.669900000001</v>
      </c>
      <c r="M7">
        <v>183.75</v>
      </c>
      <c r="N7">
        <v>157.5</v>
      </c>
      <c r="O7">
        <v>52158.75</v>
      </c>
      <c r="P7">
        <v>52500</v>
      </c>
      <c r="Q7">
        <v>171.116613</v>
      </c>
      <c r="R7">
        <v>55328.883399999999</v>
      </c>
      <c r="S7" s="3">
        <f t="shared" si="0"/>
        <v>90.911313741496599</v>
      </c>
      <c r="T7" s="3">
        <f t="shared" si="0"/>
        <v>1.2765147047619047E-3</v>
      </c>
    </row>
    <row r="8" spans="1:20" x14ac:dyDescent="0.25">
      <c r="A8">
        <v>5</v>
      </c>
      <c r="B8" t="s">
        <v>9</v>
      </c>
      <c r="D8">
        <v>2.4127028300000002</v>
      </c>
      <c r="E8">
        <v>60.261603600000001</v>
      </c>
      <c r="F8">
        <v>159.30801099999999</v>
      </c>
      <c r="G8">
        <v>182.93865299999999</v>
      </c>
      <c r="H8" s="1">
        <v>2.3131897700000002E-3</v>
      </c>
      <c r="I8">
        <v>4.4591532000000003</v>
      </c>
      <c r="J8" s="1">
        <v>0.81134681600000003</v>
      </c>
      <c r="K8">
        <v>157.512687</v>
      </c>
      <c r="L8">
        <v>55154.275800000003</v>
      </c>
      <c r="M8">
        <v>183.75</v>
      </c>
      <c r="N8">
        <v>157.5</v>
      </c>
      <c r="O8">
        <v>52158.75</v>
      </c>
      <c r="P8">
        <v>52500</v>
      </c>
      <c r="Q8">
        <v>187.40011999999999</v>
      </c>
      <c r="R8">
        <v>55312.599900000001</v>
      </c>
      <c r="S8" s="3">
        <f t="shared" si="0"/>
        <v>99.558450612244883</v>
      </c>
      <c r="T8" s="3">
        <f t="shared" si="0"/>
        <v>1.4686919174603176E-3</v>
      </c>
    </row>
    <row r="9" spans="1:20" x14ac:dyDescent="0.25">
      <c r="A9">
        <v>6</v>
      </c>
      <c r="B9" t="s">
        <v>9</v>
      </c>
      <c r="D9">
        <v>2.5683947800000002</v>
      </c>
      <c r="E9">
        <v>62.507451400000001</v>
      </c>
      <c r="F9">
        <v>159.43682799999999</v>
      </c>
      <c r="G9">
        <v>183.74999299999999</v>
      </c>
      <c r="H9">
        <v>9.3958060000000003</v>
      </c>
      <c r="I9">
        <v>11.540013099999999</v>
      </c>
      <c r="J9" s="1">
        <v>1.0843774499999999E-15</v>
      </c>
      <c r="K9">
        <v>148.119192</v>
      </c>
      <c r="L9">
        <v>55147.195</v>
      </c>
      <c r="M9">
        <v>183.75</v>
      </c>
      <c r="N9">
        <v>157.5</v>
      </c>
      <c r="O9">
        <v>52158.75</v>
      </c>
      <c r="P9">
        <v>52500</v>
      </c>
      <c r="Q9">
        <v>204.685812</v>
      </c>
      <c r="R9">
        <v>55295.314200000001</v>
      </c>
      <c r="S9" s="3">
        <f t="shared" si="0"/>
        <v>99.999996190476182</v>
      </c>
      <c r="T9" s="3">
        <f t="shared" si="0"/>
        <v>5.9655911111111113</v>
      </c>
    </row>
    <row r="10" spans="1:20" x14ac:dyDescent="0.25">
      <c r="A10">
        <v>7</v>
      </c>
      <c r="B10" t="s">
        <v>9</v>
      </c>
      <c r="D10">
        <v>2.7341335500000001</v>
      </c>
      <c r="E10">
        <v>67.067666000000003</v>
      </c>
      <c r="F10">
        <v>159.50483700000001</v>
      </c>
      <c r="G10">
        <v>183.74999299999999</v>
      </c>
      <c r="H10">
        <v>22.587909400000001</v>
      </c>
      <c r="I10">
        <v>17.225950999999998</v>
      </c>
      <c r="J10" s="1">
        <v>2.1841506400000001E-18</v>
      </c>
      <c r="K10">
        <v>134.92709099999999</v>
      </c>
      <c r="L10">
        <v>55141.509100000003</v>
      </c>
      <c r="M10">
        <v>183.75</v>
      </c>
      <c r="N10">
        <v>157.5</v>
      </c>
      <c r="O10">
        <v>52158.75</v>
      </c>
      <c r="P10">
        <v>52500</v>
      </c>
      <c r="Q10">
        <v>223.56385399999999</v>
      </c>
      <c r="R10">
        <v>55276.436099999999</v>
      </c>
      <c r="S10" s="3">
        <f t="shared" si="0"/>
        <v>99.999996190476182</v>
      </c>
      <c r="T10" s="3">
        <f t="shared" si="0"/>
        <v>14.341529777777778</v>
      </c>
    </row>
    <row r="11" spans="1:20" x14ac:dyDescent="0.25">
      <c r="A11">
        <v>8</v>
      </c>
      <c r="B11" t="s">
        <v>9</v>
      </c>
      <c r="D11">
        <v>2.9105674700000002</v>
      </c>
      <c r="E11">
        <v>80.424554599999993</v>
      </c>
      <c r="F11">
        <v>159.57834600000001</v>
      </c>
      <c r="G11">
        <v>183.74996999999999</v>
      </c>
      <c r="H11">
        <v>36.8602281</v>
      </c>
      <c r="I11">
        <v>30.4429768</v>
      </c>
      <c r="J11" s="1">
        <v>6.4253406800000004E-19</v>
      </c>
      <c r="K11">
        <v>120.654774</v>
      </c>
      <c r="L11">
        <v>55128.292000000001</v>
      </c>
      <c r="M11">
        <v>183.75</v>
      </c>
      <c r="N11">
        <v>157.5</v>
      </c>
      <c r="O11">
        <v>52158.75</v>
      </c>
      <c r="P11">
        <v>52500</v>
      </c>
      <c r="Q11">
        <v>251.05317500000001</v>
      </c>
      <c r="R11">
        <v>55248.946799999998</v>
      </c>
      <c r="S11" s="3">
        <f t="shared" si="0"/>
        <v>99.999983673469387</v>
      </c>
      <c r="T11" s="3">
        <f t="shared" si="0"/>
        <v>23.403319428571429</v>
      </c>
    </row>
    <row r="12" spans="1:20" x14ac:dyDescent="0.25">
      <c r="A12">
        <v>9</v>
      </c>
      <c r="B12" t="s">
        <v>9</v>
      </c>
      <c r="D12">
        <v>3.0983866799999999</v>
      </c>
      <c r="E12">
        <v>108.98452899999999</v>
      </c>
      <c r="F12">
        <v>159.65655599999999</v>
      </c>
      <c r="G12">
        <v>183.75000199999999</v>
      </c>
      <c r="H12">
        <v>52.106385199999998</v>
      </c>
      <c r="I12">
        <v>79.813395799999995</v>
      </c>
      <c r="J12" s="1">
        <v>1.9813621E-19</v>
      </c>
      <c r="K12">
        <v>105.408614</v>
      </c>
      <c r="L12">
        <v>55078.921600000001</v>
      </c>
      <c r="M12">
        <v>183.75</v>
      </c>
      <c r="N12">
        <v>157.5</v>
      </c>
      <c r="O12">
        <v>52158.75</v>
      </c>
      <c r="P12">
        <v>52500</v>
      </c>
      <c r="Q12">
        <v>315.669783</v>
      </c>
      <c r="R12">
        <v>55184.330199999997</v>
      </c>
      <c r="S12" s="3">
        <f t="shared" si="0"/>
        <v>100.00000108843537</v>
      </c>
      <c r="T12" s="3">
        <f t="shared" si="0"/>
        <v>33.083419174603172</v>
      </c>
    </row>
    <row r="13" spans="1:20" x14ac:dyDescent="0.25">
      <c r="A13">
        <v>10</v>
      </c>
      <c r="B13" t="s">
        <v>9</v>
      </c>
      <c r="D13">
        <v>3.2983258800000002</v>
      </c>
      <c r="E13">
        <v>137.027343</v>
      </c>
      <c r="F13">
        <v>159.74119999999999</v>
      </c>
      <c r="G13">
        <v>183.74999800000001</v>
      </c>
      <c r="H13">
        <v>68.811429500000003</v>
      </c>
      <c r="I13">
        <v>277.90115100000003</v>
      </c>
      <c r="J13" s="1">
        <v>3.7174100399999999E-19</v>
      </c>
      <c r="K13">
        <v>88.703570099999993</v>
      </c>
      <c r="L13">
        <v>54880.833899999998</v>
      </c>
      <c r="M13">
        <v>183.75</v>
      </c>
      <c r="N13">
        <v>157.5</v>
      </c>
      <c r="O13">
        <v>52158.75</v>
      </c>
      <c r="P13">
        <v>52500</v>
      </c>
      <c r="Q13">
        <v>530.46257800000001</v>
      </c>
      <c r="R13">
        <v>54969.537400000001</v>
      </c>
      <c r="S13" s="3">
        <f t="shared" si="0"/>
        <v>99.999998911564631</v>
      </c>
      <c r="T13" s="3">
        <f t="shared" si="0"/>
        <v>43.689796507936514</v>
      </c>
    </row>
    <row r="14" spans="1:20" x14ac:dyDescent="0.25">
      <c r="A14">
        <v>11</v>
      </c>
      <c r="B14" t="s">
        <v>9</v>
      </c>
      <c r="D14">
        <v>3.5111671800000002</v>
      </c>
      <c r="E14">
        <v>147.13212300000001</v>
      </c>
      <c r="F14">
        <v>159.83046300000001</v>
      </c>
      <c r="G14">
        <v>183.75</v>
      </c>
      <c r="H14">
        <v>86.474909999999994</v>
      </c>
      <c r="I14">
        <v>619.76987799999995</v>
      </c>
      <c r="J14" s="1">
        <v>2.8544511699999999E-20</v>
      </c>
      <c r="K14">
        <v>71.040089899999998</v>
      </c>
      <c r="L14">
        <v>54538.965100000001</v>
      </c>
      <c r="M14">
        <v>183.75</v>
      </c>
      <c r="N14">
        <v>157.5</v>
      </c>
      <c r="O14">
        <v>52158.75</v>
      </c>
      <c r="P14">
        <v>52500</v>
      </c>
      <c r="Q14">
        <v>889.99478799999997</v>
      </c>
      <c r="R14">
        <v>54610.0052</v>
      </c>
      <c r="S14" s="3">
        <f t="shared" si="0"/>
        <v>100</v>
      </c>
      <c r="T14" s="3">
        <f t="shared" si="0"/>
        <v>54.90470476190476</v>
      </c>
    </row>
    <row r="15" spans="1:20" x14ac:dyDescent="0.25">
      <c r="A15">
        <v>12</v>
      </c>
      <c r="B15" t="s">
        <v>9</v>
      </c>
      <c r="D15">
        <v>3.73774315</v>
      </c>
      <c r="E15">
        <v>150.95714599999999</v>
      </c>
      <c r="F15">
        <v>159.91867400000001</v>
      </c>
      <c r="G15">
        <v>183.75</v>
      </c>
      <c r="H15">
        <v>103.78097699999999</v>
      </c>
      <c r="I15">
        <v>1017.9863800000001</v>
      </c>
      <c r="J15" s="1">
        <v>5.5548954799999998E-21</v>
      </c>
      <c r="K15">
        <v>53.734023200000003</v>
      </c>
      <c r="L15">
        <v>54140.748599999999</v>
      </c>
      <c r="M15">
        <v>183.75</v>
      </c>
      <c r="N15">
        <v>157.5</v>
      </c>
      <c r="O15">
        <v>52158.75</v>
      </c>
      <c r="P15">
        <v>52500</v>
      </c>
      <c r="Q15">
        <v>1305.5173600000001</v>
      </c>
      <c r="R15">
        <v>54194.482600000003</v>
      </c>
      <c r="S15" s="3">
        <f t="shared" si="0"/>
        <v>100</v>
      </c>
      <c r="T15" s="3">
        <f t="shared" si="0"/>
        <v>65.892683809523803</v>
      </c>
    </row>
    <row r="16" spans="1:20" x14ac:dyDescent="0.25">
      <c r="A16">
        <v>13</v>
      </c>
      <c r="B16" t="s">
        <v>9</v>
      </c>
      <c r="D16">
        <v>3.97894009</v>
      </c>
      <c r="E16">
        <v>152.91738799999999</v>
      </c>
      <c r="F16">
        <v>159.99999199999999</v>
      </c>
      <c r="G16">
        <v>183.75</v>
      </c>
      <c r="H16">
        <v>119.56640299999999</v>
      </c>
      <c r="I16">
        <v>1454.59312</v>
      </c>
      <c r="J16" s="1">
        <v>2.8706003900000001E-21</v>
      </c>
      <c r="K16">
        <v>37.948596899999998</v>
      </c>
      <c r="L16">
        <v>53704.141900000002</v>
      </c>
      <c r="M16">
        <v>183.75</v>
      </c>
      <c r="N16">
        <v>157.5</v>
      </c>
      <c r="O16">
        <v>52158.75</v>
      </c>
      <c r="P16">
        <v>52500</v>
      </c>
      <c r="Q16">
        <v>1757.9095299999999</v>
      </c>
      <c r="R16">
        <v>53742.090499999998</v>
      </c>
      <c r="S16" s="3">
        <f t="shared" si="0"/>
        <v>100</v>
      </c>
      <c r="T16" s="3">
        <f t="shared" si="0"/>
        <v>75.915176507936508</v>
      </c>
    </row>
    <row r="17" spans="1:20" x14ac:dyDescent="0.25">
      <c r="A17">
        <v>14</v>
      </c>
      <c r="B17" t="s">
        <v>9</v>
      </c>
      <c r="D17">
        <v>4.2357014900000003</v>
      </c>
      <c r="E17">
        <v>154.13934599999999</v>
      </c>
      <c r="F17">
        <v>160.06849800000001</v>
      </c>
      <c r="G17">
        <v>183.74999500000001</v>
      </c>
      <c r="H17">
        <v>132.72126800000001</v>
      </c>
      <c r="I17">
        <v>1927.9578799999999</v>
      </c>
      <c r="J17" s="1">
        <v>3.7855310700000001E-19</v>
      </c>
      <c r="K17">
        <v>24.7937312</v>
      </c>
      <c r="L17">
        <v>53230.777099999999</v>
      </c>
      <c r="M17">
        <v>183.75</v>
      </c>
      <c r="N17">
        <v>157.5</v>
      </c>
      <c r="O17">
        <v>52158.75</v>
      </c>
      <c r="P17">
        <v>52500</v>
      </c>
      <c r="Q17">
        <v>2244.4291400000002</v>
      </c>
      <c r="R17">
        <v>53255.570899999999</v>
      </c>
      <c r="S17" s="3">
        <f t="shared" si="0"/>
        <v>99.999997278911579</v>
      </c>
      <c r="T17" s="3">
        <f t="shared" si="0"/>
        <v>84.267471746031759</v>
      </c>
    </row>
    <row r="18" spans="1:20" x14ac:dyDescent="0.25">
      <c r="A18">
        <v>15</v>
      </c>
      <c r="B18" t="s">
        <v>9</v>
      </c>
      <c r="D18">
        <v>4.5090317300000002</v>
      </c>
      <c r="E18">
        <v>155.000224</v>
      </c>
      <c r="F18">
        <v>160.120329</v>
      </c>
      <c r="G18">
        <v>183.74999800000001</v>
      </c>
      <c r="H18">
        <v>142.566845</v>
      </c>
      <c r="I18">
        <v>2439.3221699999999</v>
      </c>
      <c r="J18" s="1">
        <v>1.20919683E-20</v>
      </c>
      <c r="K18">
        <v>14.948154300000001</v>
      </c>
      <c r="L18">
        <v>52719.412799999998</v>
      </c>
      <c r="M18">
        <v>183.75</v>
      </c>
      <c r="N18">
        <v>157.5</v>
      </c>
      <c r="O18">
        <v>52158.75</v>
      </c>
      <c r="P18">
        <v>52500</v>
      </c>
      <c r="Q18">
        <v>2765.6390200000001</v>
      </c>
      <c r="R18">
        <v>52734.360999999997</v>
      </c>
      <c r="S18" s="3">
        <f t="shared" si="0"/>
        <v>99.999998911564631</v>
      </c>
      <c r="T18" s="3">
        <f t="shared" si="0"/>
        <v>90.518631746031744</v>
      </c>
    </row>
    <row r="19" spans="1:20" x14ac:dyDescent="0.25">
      <c r="A19">
        <v>16</v>
      </c>
      <c r="B19" t="s">
        <v>9</v>
      </c>
      <c r="D19">
        <v>4.8</v>
      </c>
      <c r="E19">
        <v>155.65063799999999</v>
      </c>
      <c r="F19">
        <v>160.155372</v>
      </c>
      <c r="G19">
        <v>183.749999</v>
      </c>
      <c r="H19">
        <v>149.150983</v>
      </c>
      <c r="I19">
        <v>2990.12869</v>
      </c>
      <c r="J19" s="1">
        <v>2.7615966700000002E-24</v>
      </c>
      <c r="K19">
        <v>8.3640170499999993</v>
      </c>
      <c r="L19">
        <v>52168.606299999999</v>
      </c>
      <c r="M19">
        <v>183.75</v>
      </c>
      <c r="N19">
        <v>157.5</v>
      </c>
      <c r="O19">
        <v>52158.75</v>
      </c>
      <c r="P19">
        <v>52500</v>
      </c>
      <c r="Q19">
        <v>3323.0296699999999</v>
      </c>
      <c r="R19">
        <v>52176.970300000001</v>
      </c>
      <c r="S19" s="3">
        <f t="shared" si="0"/>
        <v>99.999999455782302</v>
      </c>
      <c r="T19" s="3">
        <f t="shared" si="0"/>
        <v>94.699036825396817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</vt:lpstr>
      <vt:lpstr>Caso1</vt:lpstr>
      <vt:lpstr>Caso2</vt:lpstr>
      <vt:lpstr>Caso3</vt:lpstr>
      <vt:lpstr>Caso4</vt:lpstr>
      <vt:lpstr>Caso5</vt:lpstr>
      <vt:lpstr>Caso6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2025-11-19T14:22:03Z</dcterms:created>
  <dcterms:modified xsi:type="dcterms:W3CDTF">2025-11-19T17:53:08Z</dcterms:modified>
</cp:coreProperties>
</file>